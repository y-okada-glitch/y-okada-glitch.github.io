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itanhs-my.sharepoint.com/personal/y-okada_oita-nhs_ac_jp/Documents/講義資料/非常勤/別府青山看護学校/情報科学演習/20261001_13_14/"/>
    </mc:Choice>
  </mc:AlternateContent>
  <xr:revisionPtr revIDLastSave="17" documentId="13_ncr:1_{D97C5C83-889F-4615-9386-B577726B5751}" xr6:coauthVersionLast="47" xr6:coauthVersionMax="47" xr10:uidLastSave="{8AF271F4-67EC-4DEE-A28B-A208DB98C71A}"/>
  <bookViews>
    <workbookView xWindow="28680" yWindow="-120" windowWidth="29040" windowHeight="15720" xr2:uid="{00000000-000D-0000-FFFF-FFFF00000000}"/>
  </bookViews>
  <sheets>
    <sheet name="1)割合の信頼区間" sheetId="8" r:id="rId1"/>
    <sheet name="2)1標本の平均値の検定（母平均値の信頼区間）" sheetId="9" r:id="rId2"/>
    <sheet name="3)対応のある場合の平均値の差の検定" sheetId="14" r:id="rId3"/>
    <sheet name="4)2群の割合の差の検定（クロス表の独立性の検定）" sheetId="15" r:id="rId4"/>
    <sheet name="5)対応のない場合の平均値の差の検定（t検定）" sheetId="10" r:id="rId5"/>
    <sheet name="差し込み印刷データ" sheetId="11" r:id="rId6"/>
    <sheet name="グラフのアニメーション用" sheetId="12" r:id="rId7"/>
    <sheet name="【演習課題データ】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8" l="1"/>
  <c r="J7" i="9"/>
  <c r="F12" i="15"/>
  <c r="F11" i="15"/>
  <c r="F13" i="15"/>
  <c r="E13" i="15"/>
  <c r="D13" i="15"/>
  <c r="D12" i="15" l="1"/>
  <c r="Q12" i="15" s="1"/>
  <c r="E11" i="15"/>
  <c r="R11" i="15" s="1"/>
  <c r="D11" i="15"/>
  <c r="Q11" i="15" s="1"/>
  <c r="I8" i="15" s="1"/>
  <c r="I10" i="15" s="1"/>
  <c r="E12" i="15"/>
  <c r="R12" i="15" s="1"/>
  <c r="D7" i="14" l="1"/>
  <c r="D2" i="14"/>
  <c r="D15" i="14"/>
  <c r="D16" i="14"/>
  <c r="D17" i="14"/>
  <c r="D18" i="14"/>
  <c r="D19" i="14"/>
  <c r="D20" i="14"/>
  <c r="D21" i="14"/>
  <c r="D22" i="14"/>
  <c r="D23" i="14"/>
  <c r="D14" i="14"/>
  <c r="I4" i="14" l="1"/>
  <c r="G6" i="14" s="1"/>
  <c r="G9" i="14" s="1"/>
  <c r="I4" i="9"/>
  <c r="D2" i="9"/>
  <c r="D7" i="9"/>
  <c r="D7" i="8"/>
  <c r="D2" i="8"/>
  <c r="G6" i="8" s="1"/>
  <c r="G6" i="9" l="1"/>
  <c r="J8" i="9" s="1"/>
  <c r="J7" i="14"/>
  <c r="J8" i="14" s="1"/>
  <c r="E9" i="14"/>
  <c r="G9" i="8"/>
  <c r="G9" i="9" l="1"/>
  <c r="E9" i="9"/>
</calcChain>
</file>

<file path=xl/sharedStrings.xml><?xml version="1.0" encoding="utf-8"?>
<sst xmlns="http://schemas.openxmlformats.org/spreadsheetml/2006/main" count="254" uniqueCount="199">
  <si>
    <t>最高血圧(mmHg)</t>
    <rPh sb="0" eb="2">
      <t>サイコウ</t>
    </rPh>
    <rPh sb="2" eb="4">
      <t>ケツアツ</t>
    </rPh>
    <phoneticPr fontId="4"/>
  </si>
  <si>
    <t>最低血圧(mmHg)</t>
    <rPh sb="0" eb="2">
      <t>サイテイ</t>
    </rPh>
    <rPh sb="2" eb="4">
      <t>ケツアツ</t>
    </rPh>
    <phoneticPr fontId="4"/>
  </si>
  <si>
    <t>BMI</t>
    <phoneticPr fontId="3"/>
  </si>
  <si>
    <t>脳血管疾患</t>
  </si>
  <si>
    <t>肺炎</t>
  </si>
  <si>
    <t>老衰</t>
  </si>
  <si>
    <t>年</t>
    <rPh sb="0" eb="1">
      <t>ネン</t>
    </rPh>
    <phoneticPr fontId="2"/>
  </si>
  <si>
    <t>その他</t>
    <rPh sb="2" eb="3">
      <t>タ</t>
    </rPh>
    <phoneticPr fontId="2"/>
  </si>
  <si>
    <t>　わが国における主要死因による死亡数の推移（男女計）　出典：e-stat，人口動態統計</t>
    <rPh sb="3" eb="4">
      <t>クニ</t>
    </rPh>
    <rPh sb="8" eb="12">
      <t>シュヨウシイン</t>
    </rPh>
    <rPh sb="15" eb="18">
      <t>シボウスウ</t>
    </rPh>
    <rPh sb="19" eb="21">
      <t>スイイ</t>
    </rPh>
    <rPh sb="22" eb="25">
      <t>ダンジョケイ</t>
    </rPh>
    <rPh sb="27" eb="29">
      <t>シュッテン</t>
    </rPh>
    <rPh sb="37" eb="39">
      <t>ジンコウ</t>
    </rPh>
    <rPh sb="39" eb="41">
      <t>ドウタイ</t>
    </rPh>
    <rPh sb="41" eb="43">
      <t>トウケイ</t>
    </rPh>
    <phoneticPr fontId="2"/>
  </si>
  <si>
    <t>ID</t>
    <phoneticPr fontId="2"/>
  </si>
  <si>
    <t>喫煙</t>
    <rPh sb="0" eb="2">
      <t>キツエン</t>
    </rPh>
    <phoneticPr fontId="2"/>
  </si>
  <si>
    <t>標本サイズ</t>
    <rPh sb="0" eb="2">
      <t>ヒョウホン</t>
    </rPh>
    <phoneticPr fontId="2"/>
  </si>
  <si>
    <t>標本での</t>
    <rPh sb="0" eb="2">
      <t>ヒョウホン</t>
    </rPh>
    <phoneticPr fontId="2"/>
  </si>
  <si>
    <t>喫煙率</t>
    <rPh sb="0" eb="3">
      <t>キツエンリツ</t>
    </rPh>
    <phoneticPr fontId="2"/>
  </si>
  <si>
    <t>←セルの書式設定をパーセントにしています</t>
    <rPh sb="4" eb="6">
      <t>ショシキ</t>
    </rPh>
    <rPh sb="6" eb="8">
      <t>セッテイ</t>
    </rPh>
    <phoneticPr fontId="2"/>
  </si>
  <si>
    <t>信頼度</t>
    <rPh sb="0" eb="3">
      <t>シンライド</t>
    </rPh>
    <phoneticPr fontId="2"/>
  </si>
  <si>
    <t>〃を示す係数</t>
    <rPh sb="2" eb="3">
      <t>シメ</t>
    </rPh>
    <rPh sb="4" eb="6">
      <t>ケイスウ</t>
    </rPh>
    <phoneticPr fontId="2"/>
  </si>
  <si>
    <t>標準誤差</t>
    <rPh sb="0" eb="2">
      <t>ヒョウジュン</t>
    </rPh>
    <rPh sb="2" eb="4">
      <t>ゴサ</t>
    </rPh>
    <phoneticPr fontId="2"/>
  </si>
  <si>
    <t>上限</t>
    <rPh sb="0" eb="2">
      <t>ジョウゲン</t>
    </rPh>
    <phoneticPr fontId="2"/>
  </si>
  <si>
    <t>95%信頼区間</t>
    <rPh sb="3" eb="5">
      <t>シンライ</t>
    </rPh>
    <rPh sb="5" eb="7">
      <t>クカン</t>
    </rPh>
    <phoneticPr fontId="2"/>
  </si>
  <si>
    <t>下限</t>
    <phoneticPr fontId="2"/>
  </si>
  <si>
    <t>ID</t>
    <phoneticPr fontId="2"/>
  </si>
  <si>
    <t>身長cm</t>
    <rPh sb="0" eb="2">
      <t>シンチョウ</t>
    </rPh>
    <phoneticPr fontId="2"/>
  </si>
  <si>
    <t>標本の</t>
    <rPh sb="0" eb="2">
      <t>ヒョウホン</t>
    </rPh>
    <phoneticPr fontId="2"/>
  </si>
  <si>
    <t>平均値</t>
    <rPh sb="0" eb="3">
      <t>ヘイキンチ</t>
    </rPh>
    <phoneticPr fontId="2"/>
  </si>
  <si>
    <t>標準偏差</t>
    <rPh sb="0" eb="2">
      <t>ヒョウジュン</t>
    </rPh>
    <rPh sb="2" eb="4">
      <t>ヘンサ</t>
    </rPh>
    <phoneticPr fontId="2"/>
  </si>
  <si>
    <t>不偏分散</t>
    <rPh sb="0" eb="2">
      <t>フヘン</t>
    </rPh>
    <rPh sb="2" eb="4">
      <t>ブンサン</t>
    </rPh>
    <phoneticPr fontId="2"/>
  </si>
  <si>
    <t>不偏分散は関数　VAR.S(範囲)</t>
    <rPh sb="0" eb="2">
      <t>フヘン</t>
    </rPh>
    <rPh sb="2" eb="4">
      <t>ブンサン</t>
    </rPh>
    <rPh sb="5" eb="7">
      <t>カンスウ</t>
    </rPh>
    <rPh sb="14" eb="16">
      <t>ハンイ</t>
    </rPh>
    <phoneticPr fontId="2"/>
  </si>
  <si>
    <t>帰無仮説の値</t>
    <rPh sb="0" eb="2">
      <t>キム</t>
    </rPh>
    <rPh sb="2" eb="4">
      <t>カセツ</t>
    </rPh>
    <rPh sb="5" eb="6">
      <t>アタイ</t>
    </rPh>
    <phoneticPr fontId="2"/>
  </si>
  <si>
    <t>z</t>
    <phoneticPr fontId="2"/>
  </si>
  <si>
    <t>p</t>
    <phoneticPr fontId="2"/>
  </si>
  <si>
    <t>判断</t>
    <rPh sb="0" eb="2">
      <t>ハンダン</t>
    </rPh>
    <phoneticPr fontId="2"/>
  </si>
  <si>
    <t>看護学生は日本人全体よりも平均身長が高いと・・・・・</t>
    <rPh sb="0" eb="2">
      <t>カンゴ</t>
    </rPh>
    <rPh sb="2" eb="4">
      <t>ガクセイ</t>
    </rPh>
    <rPh sb="5" eb="8">
      <t>ニホンジン</t>
    </rPh>
    <rPh sb="8" eb="10">
      <t>ゼンタイ</t>
    </rPh>
    <rPh sb="13" eb="15">
      <t>ヘイキン</t>
    </rPh>
    <rPh sb="15" eb="17">
      <t>シンチョウ</t>
    </rPh>
    <rPh sb="18" eb="19">
      <t>タカ</t>
    </rPh>
    <phoneticPr fontId="2"/>
  </si>
  <si>
    <t>ID</t>
    <phoneticPr fontId="3"/>
  </si>
  <si>
    <t>ID番号</t>
  </si>
  <si>
    <t>氏名</t>
  </si>
  <si>
    <r>
      <rPr>
        <sz val="11"/>
        <rFont val="ＭＳ 明朝"/>
        <family val="1"/>
        <charset val="128"/>
      </rPr>
      <t>住所</t>
    </r>
    <rPh sb="0" eb="2">
      <t>ジュウショ</t>
    </rPh>
    <phoneticPr fontId="1"/>
  </si>
  <si>
    <r>
      <rPr>
        <sz val="11"/>
        <rFont val="ＭＳ 明朝"/>
        <family val="1"/>
        <charset val="128"/>
      </rPr>
      <t>生年月日</t>
    </r>
    <rPh sb="0" eb="2">
      <t>セイネン</t>
    </rPh>
    <rPh sb="2" eb="4">
      <t>ガッピ</t>
    </rPh>
    <phoneticPr fontId="1"/>
  </si>
  <si>
    <t>身長cm</t>
  </si>
  <si>
    <t>体重Kg</t>
  </si>
  <si>
    <t>BMI</t>
  </si>
  <si>
    <t>A001</t>
  </si>
  <si>
    <t>●沢◎子</t>
  </si>
  <si>
    <t>大分市奥田６２７－１</t>
  </si>
  <si>
    <t>A002</t>
  </si>
  <si>
    <t>佐◆フ△</t>
  </si>
  <si>
    <t>大分市大字森５９４－１</t>
  </si>
  <si>
    <t>A003</t>
  </si>
  <si>
    <t>大■☆江</t>
  </si>
  <si>
    <t>大分市公園通り西２－１－２Ｆ</t>
  </si>
  <si>
    <t>A004</t>
  </si>
  <si>
    <t>▼石☆子</t>
  </si>
  <si>
    <t>大分市大字宮崎７６０－１</t>
  </si>
  <si>
    <t>A005</t>
  </si>
  <si>
    <t>古◆央○</t>
  </si>
  <si>
    <t>大分市大字玉沢７５５－１－１Ｆ</t>
  </si>
  <si>
    <t>A006</t>
  </si>
  <si>
    <t>村▼裕◎</t>
  </si>
  <si>
    <t>大分市府内町１－２－６</t>
  </si>
  <si>
    <t>A007</t>
  </si>
  <si>
    <t>黒▲◆カ</t>
  </si>
  <si>
    <t>大分市大字玉沢７５５－１－２Ｆ</t>
  </si>
  <si>
    <t>A008</t>
  </si>
  <si>
    <t>▲瀬◆サ</t>
  </si>
  <si>
    <t>大分市大在浜２－１－１</t>
  </si>
  <si>
    <t>A009</t>
  </si>
  <si>
    <t>坂▲ヨ★</t>
  </si>
  <si>
    <t>大分市西大道３－５３６－１</t>
  </si>
  <si>
    <t>A010</t>
  </si>
  <si>
    <r>
      <rPr>
        <sz val="11"/>
        <rFont val="ＭＳ 明朝"/>
        <family val="1"/>
        <charset val="128"/>
      </rPr>
      <t>草間■子</t>
    </r>
    <rPh sb="0" eb="2">
      <t>クサマ</t>
    </rPh>
    <rPh sb="3" eb="4">
      <t>コ</t>
    </rPh>
    <phoneticPr fontId="2"/>
  </si>
  <si>
    <t>大分市生石２－２－２５</t>
  </si>
  <si>
    <t>A011</t>
  </si>
  <si>
    <t>小▽◎ネ</t>
  </si>
  <si>
    <t>大分市角子南２－１０９</t>
  </si>
  <si>
    <t>A012</t>
  </si>
  <si>
    <t>△藤★ヨ</t>
  </si>
  <si>
    <t>別府市餅ヶ浜町９－１５４</t>
  </si>
  <si>
    <t>A013</t>
  </si>
  <si>
    <t>▼塚ミ◆</t>
  </si>
  <si>
    <t>別府市北浜２－９－１</t>
  </si>
  <si>
    <t>A014</t>
  </si>
  <si>
    <t>●屋民◇</t>
  </si>
  <si>
    <t>別府市楠町３９２－６</t>
  </si>
  <si>
    <t>A015</t>
  </si>
  <si>
    <t>▼谷◎子</t>
  </si>
  <si>
    <t>別府市観海寺１</t>
  </si>
  <si>
    <t>A016</t>
  </si>
  <si>
    <t>大▽サ◆</t>
  </si>
  <si>
    <r>
      <rPr>
        <sz val="11"/>
        <rFont val="ＭＳ 明朝"/>
        <family val="1"/>
        <charset val="128"/>
      </rPr>
      <t>三光村三光佐知１０３２</t>
    </r>
    <rPh sb="0" eb="1">
      <t>3</t>
    </rPh>
    <rPh sb="1" eb="2">
      <t>ヒカリ</t>
    </rPh>
    <rPh sb="2" eb="3">
      <t>ムラ</t>
    </rPh>
    <phoneticPr fontId="1"/>
  </si>
  <si>
    <t>A017</t>
  </si>
  <si>
    <t>■村◎子</t>
  </si>
  <si>
    <t>中津市中殿町３－３１－２３</t>
  </si>
  <si>
    <t>A018</t>
  </si>
  <si>
    <t>小◇★子</t>
  </si>
  <si>
    <t>日田市三本松２－５</t>
  </si>
  <si>
    <t>A019</t>
  </si>
  <si>
    <t>▼川□子</t>
  </si>
  <si>
    <t>佐伯市脇津留土地区画整理Ｂ－７－７</t>
  </si>
  <si>
    <t>A020</t>
  </si>
  <si>
    <t>■チ◎子</t>
  </si>
  <si>
    <t>宇佐市大字法鏡寺５００</t>
  </si>
  <si>
    <t>悪性新生物</t>
  </si>
  <si>
    <t>心疾患</t>
  </si>
  <si>
    <t>ベッド</t>
    <phoneticPr fontId="2"/>
  </si>
  <si>
    <t>褥瘡</t>
    <rPh sb="0" eb="2">
      <t>ジョクソウ</t>
    </rPh>
    <phoneticPr fontId="2"/>
  </si>
  <si>
    <t>開始時</t>
    <rPh sb="0" eb="3">
      <t>カイシジ</t>
    </rPh>
    <phoneticPr fontId="2"/>
  </si>
  <si>
    <t>1ヶ月後</t>
    <rPh sb="2" eb="3">
      <t>ゲツ</t>
    </rPh>
    <rPh sb="3" eb="4">
      <t>アト</t>
    </rPh>
    <phoneticPr fontId="2"/>
  </si>
  <si>
    <t>変化</t>
    <rPh sb="0" eb="2">
      <t>ヘンカ</t>
    </rPh>
    <phoneticPr fontId="2"/>
  </si>
  <si>
    <t>体重(kg)</t>
    <rPh sb="0" eb="2">
      <t>タイジュウ</t>
    </rPh>
    <phoneticPr fontId="2"/>
  </si>
  <si>
    <t>平均</t>
    <rPh sb="0" eb="2">
      <t>ヘイキン</t>
    </rPh>
    <phoneticPr fontId="2"/>
  </si>
  <si>
    <r>
      <t>t</t>
    </r>
    <r>
      <rPr>
        <i/>
        <vertAlign val="subscript"/>
        <sz val="11"/>
        <color theme="1"/>
        <rFont val="Yu Gothic"/>
        <family val="3"/>
        <charset val="128"/>
        <scheme val="minor"/>
      </rPr>
      <t>9</t>
    </r>
    <phoneticPr fontId="2"/>
  </si>
  <si>
    <t>ダイエットにより体重は・・・・・</t>
    <rPh sb="8" eb="10">
      <t>タイジュウ</t>
    </rPh>
    <phoneticPr fontId="2"/>
  </si>
  <si>
    <r>
      <t>自由度9の</t>
    </r>
    <r>
      <rPr>
        <i/>
        <sz val="11"/>
        <color theme="1"/>
        <rFont val="Yu Gothic"/>
        <family val="3"/>
        <charset val="128"/>
        <scheme val="minor"/>
      </rPr>
      <t>t</t>
    </r>
    <r>
      <rPr>
        <sz val="11"/>
        <color theme="1"/>
        <rFont val="Yu Gothic"/>
        <family val="2"/>
        <scheme val="minor"/>
      </rPr>
      <t>分布を使用</t>
    </r>
    <rPh sb="0" eb="3">
      <t>ジユウド</t>
    </rPh>
    <rPh sb="6" eb="8">
      <t>ブンプ</t>
    </rPh>
    <rPh sb="9" eb="11">
      <t>シヨウ</t>
    </rPh>
    <phoneticPr fontId="2"/>
  </si>
  <si>
    <t>正常群</t>
    <rPh sb="0" eb="2">
      <t>セイジョウ</t>
    </rPh>
    <rPh sb="2" eb="3">
      <t>グン</t>
    </rPh>
    <phoneticPr fontId="2"/>
  </si>
  <si>
    <t>肥満群</t>
    <rPh sb="0" eb="2">
      <t>ヒマン</t>
    </rPh>
    <rPh sb="2" eb="3">
      <t>グン</t>
    </rPh>
    <phoneticPr fontId="2"/>
  </si>
  <si>
    <t>※データは，エクセル演習02のシート「記述統計演習」の表示形式を変更したもの</t>
    <rPh sb="10" eb="12">
      <t>エンシュウ</t>
    </rPh>
    <rPh sb="19" eb="21">
      <t>キジュツ</t>
    </rPh>
    <rPh sb="21" eb="23">
      <t>トウケイ</t>
    </rPh>
    <rPh sb="23" eb="25">
      <t>エンシュウ</t>
    </rPh>
    <rPh sb="27" eb="29">
      <t>ヒョウジ</t>
    </rPh>
    <rPh sb="29" eb="31">
      <t>ケイシキ</t>
    </rPh>
    <rPh sb="32" eb="34">
      <t>ヘンコウ</t>
    </rPh>
    <phoneticPr fontId="2"/>
  </si>
  <si>
    <t>等分散性の検定結果（「分析ツール」のP（F&lt;=f）片側，の値）</t>
    <rPh sb="0" eb="1">
      <t>トウ</t>
    </rPh>
    <rPh sb="1" eb="3">
      <t>ブンサン</t>
    </rPh>
    <rPh sb="3" eb="4">
      <t>セイ</t>
    </rPh>
    <rPh sb="5" eb="7">
      <t>ケンテイ</t>
    </rPh>
    <rPh sb="7" eb="9">
      <t>ケッカ</t>
    </rPh>
    <rPh sb="11" eb="13">
      <t>ブンセキ</t>
    </rPh>
    <rPh sb="25" eb="27">
      <t>カタガワ</t>
    </rPh>
    <rPh sb="29" eb="30">
      <t>アタイ</t>
    </rPh>
    <phoneticPr fontId="2"/>
  </si>
  <si>
    <t>等分散性の検定結果からの判断</t>
    <rPh sb="7" eb="9">
      <t>ケッカ</t>
    </rPh>
    <rPh sb="12" eb="14">
      <t>ハンダン</t>
    </rPh>
    <phoneticPr fontId="2"/>
  </si>
  <si>
    <t>等分散は仮定でき・・・</t>
    <rPh sb="0" eb="1">
      <t>トウ</t>
    </rPh>
    <rPh sb="1" eb="3">
      <t>ブンサン</t>
    </rPh>
    <rPh sb="4" eb="6">
      <t>カテイ</t>
    </rPh>
    <phoneticPr fontId="2"/>
  </si>
  <si>
    <t>適切なt検定の結果（P(T&lt;=t）両側，の値）</t>
    <rPh sb="0" eb="2">
      <t>テキセツ</t>
    </rPh>
    <rPh sb="4" eb="6">
      <t>ケンテイ</t>
    </rPh>
    <rPh sb="7" eb="9">
      <t>ケッカ</t>
    </rPh>
    <rPh sb="17" eb="19">
      <t>リョウガワ</t>
    </rPh>
    <rPh sb="21" eb="22">
      <t>アタイ</t>
    </rPh>
    <phoneticPr fontId="2"/>
  </si>
  <si>
    <t>t検定からの判断</t>
    <rPh sb="1" eb="3">
      <t>ケンテイ</t>
    </rPh>
    <rPh sb="6" eb="8">
      <t>ハンダン</t>
    </rPh>
    <phoneticPr fontId="2"/>
  </si>
  <si>
    <t>肥満群と正常群で最高血圧の平均値に・・・</t>
    <rPh sb="0" eb="2">
      <t>ヒマン</t>
    </rPh>
    <rPh sb="2" eb="3">
      <t>グン</t>
    </rPh>
    <rPh sb="4" eb="6">
      <t>セイジョウ</t>
    </rPh>
    <rPh sb="6" eb="7">
      <t>グン</t>
    </rPh>
    <rPh sb="8" eb="10">
      <t>サイコウ</t>
    </rPh>
    <rPh sb="10" eb="12">
      <t>ケツアツ</t>
    </rPh>
    <rPh sb="13" eb="16">
      <t>ヘイキンチ</t>
    </rPh>
    <phoneticPr fontId="2"/>
  </si>
  <si>
    <t>クラス</t>
    <phoneticPr fontId="2"/>
  </si>
  <si>
    <r>
      <t>合否</t>
    </r>
    <r>
      <rPr>
        <sz val="8"/>
        <color theme="1"/>
        <rFont val="Yu Gothic"/>
        <family val="3"/>
        <charset val="128"/>
        <scheme val="minor"/>
      </rPr>
      <t>（1=合格，2=不合格）</t>
    </r>
    <rPh sb="0" eb="2">
      <t>ゴウヒ</t>
    </rPh>
    <rPh sb="5" eb="7">
      <t>ゴウカク</t>
    </rPh>
    <rPh sb="10" eb="13">
      <t>フゴウカク</t>
    </rPh>
    <phoneticPr fontId="2"/>
  </si>
  <si>
    <t>合否</t>
    <rPh sb="0" eb="2">
      <t>ゴウヒ</t>
    </rPh>
    <phoneticPr fontId="2"/>
  </si>
  <si>
    <t>合格</t>
    <rPh sb="0" eb="2">
      <t>ゴウカク</t>
    </rPh>
    <phoneticPr fontId="2"/>
  </si>
  <si>
    <t>不合格</t>
    <rPh sb="0" eb="3">
      <t>フゴウカク</t>
    </rPh>
    <phoneticPr fontId="2"/>
  </si>
  <si>
    <t>実際の度数</t>
    <rPh sb="0" eb="2">
      <t>ジッサイ</t>
    </rPh>
    <rPh sb="3" eb="5">
      <t>ドスウ</t>
    </rPh>
    <phoneticPr fontId="2"/>
  </si>
  <si>
    <t>計</t>
    <rPh sb="0" eb="1">
      <t>ケイ</t>
    </rPh>
    <phoneticPr fontId="2"/>
  </si>
  <si>
    <t>期待値</t>
    <rPh sb="0" eb="3">
      <t>キタイチ</t>
    </rPh>
    <phoneticPr fontId="2"/>
  </si>
  <si>
    <t>カイ二乗値</t>
    <rPh sb="2" eb="5">
      <t>ジジョウチ</t>
    </rPh>
    <phoneticPr fontId="2"/>
  </si>
  <si>
    <t>自由度</t>
    <rPh sb="0" eb="3">
      <t>ジユウド</t>
    </rPh>
    <phoneticPr fontId="2"/>
  </si>
  <si>
    <t>p値</t>
    <rPh sb="1" eb="2">
      <t>アタイ</t>
    </rPh>
    <phoneticPr fontId="2"/>
  </si>
  <si>
    <t>クラスによって合格率は・・・</t>
    <rPh sb="7" eb="10">
      <t>ゴウカクリツ</t>
    </rPh>
    <phoneticPr fontId="2"/>
  </si>
  <si>
    <t>p値</t>
    <rPh sb="1" eb="2">
      <t>アタイ</t>
    </rPh>
    <phoneticPr fontId="2"/>
  </si>
  <si>
    <t>157.0</t>
  </si>
  <si>
    <t>56.4</t>
  </si>
  <si>
    <t>22.9</t>
  </si>
  <si>
    <t>148.3</t>
  </si>
  <si>
    <t>51.1</t>
  </si>
  <si>
    <t>23.2</t>
  </si>
  <si>
    <t>150.5</t>
  </si>
  <si>
    <t>51.6</t>
  </si>
  <si>
    <t>22.8</t>
  </si>
  <si>
    <t>61.5</t>
  </si>
  <si>
    <t>25.0</t>
  </si>
  <si>
    <t>155.5</t>
  </si>
  <si>
    <t>59.0</t>
  </si>
  <si>
    <t>24.4</t>
  </si>
  <si>
    <t>148.5</t>
  </si>
  <si>
    <t>60.0</t>
  </si>
  <si>
    <t>27.2</t>
  </si>
  <si>
    <t>160.0</t>
  </si>
  <si>
    <t>58.9</t>
  </si>
  <si>
    <t>23.0</t>
  </si>
  <si>
    <t>146.8</t>
  </si>
  <si>
    <t>56.8</t>
  </si>
  <si>
    <t>26.4</t>
  </si>
  <si>
    <t>150.8</t>
  </si>
  <si>
    <t>58.5</t>
  </si>
  <si>
    <t>25.7</t>
  </si>
  <si>
    <t>146.1</t>
  </si>
  <si>
    <t>52.1</t>
  </si>
  <si>
    <t>142.0</t>
  </si>
  <si>
    <t>47.5</t>
  </si>
  <si>
    <t>23.6</t>
  </si>
  <si>
    <t>148.0</t>
  </si>
  <si>
    <t>28.1</t>
  </si>
  <si>
    <t>147.4</t>
  </si>
  <si>
    <t>24.0</t>
  </si>
  <si>
    <t>158.4</t>
  </si>
  <si>
    <t>57.5</t>
  </si>
  <si>
    <t>140.7</t>
  </si>
  <si>
    <t>46.0</t>
  </si>
  <si>
    <t>24.3</t>
  </si>
  <si>
    <t>151.7</t>
  </si>
  <si>
    <t>53.5</t>
  </si>
  <si>
    <t>147.5</t>
  </si>
  <si>
    <t>51.3</t>
  </si>
  <si>
    <t>161.4</t>
  </si>
  <si>
    <t>61.2</t>
  </si>
  <si>
    <t>23.5</t>
  </si>
  <si>
    <t>159.9</t>
  </si>
  <si>
    <t>55.5</t>
  </si>
  <si>
    <t>21.7</t>
  </si>
  <si>
    <t>ID</t>
    <phoneticPr fontId="2"/>
  </si>
  <si>
    <t>ベッド</t>
    <phoneticPr fontId="2"/>
  </si>
  <si>
    <t>褥瘡</t>
    <rPh sb="0" eb="2">
      <t>ジョクソウ</t>
    </rPh>
    <phoneticPr fontId="2"/>
  </si>
  <si>
    <t>1：発生</t>
    <rPh sb="2" eb="4">
      <t>ハッセイ</t>
    </rPh>
    <phoneticPr fontId="2"/>
  </si>
  <si>
    <t>2：発生せず</t>
    <rPh sb="2" eb="4">
      <t>ハッセイ</t>
    </rPh>
    <phoneticPr fontId="2"/>
  </si>
  <si>
    <t>2：従来のベッド</t>
    <rPh sb="2" eb="4">
      <t>ジュウライ</t>
    </rPh>
    <phoneticPr fontId="2"/>
  </si>
  <si>
    <t>1：新開発のベッド</t>
    <rPh sb="2" eb="3">
      <t>アタラ</t>
    </rPh>
    <rPh sb="3" eb="5">
      <t>カイハツ</t>
    </rPh>
    <phoneticPr fontId="2"/>
  </si>
  <si>
    <t>コードの説明</t>
    <rPh sb="4" eb="6">
      <t>セツメイ</t>
    </rPh>
    <phoneticPr fontId="2"/>
  </si>
  <si>
    <t>カイ二乗値計算用</t>
    <rPh sb="2" eb="5">
      <t>ジジョウチ</t>
    </rPh>
    <rPh sb="5" eb="7">
      <t>ケイサン</t>
    </rPh>
    <rPh sb="7" eb="8">
      <t>ヨウ</t>
    </rPh>
    <phoneticPr fontId="2"/>
  </si>
  <si>
    <t>※テキストp275 ②</t>
    <phoneticPr fontId="2"/>
  </si>
  <si>
    <t>※テキストp274 ②</t>
    <phoneticPr fontId="2"/>
  </si>
  <si>
    <t>※テキストp285,288 ④</t>
    <phoneticPr fontId="2"/>
  </si>
  <si>
    <t>※テキストp279～283</t>
    <phoneticPr fontId="2"/>
  </si>
  <si>
    <t>※テキストp285~288 ③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</si>
</sst>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 "/>
    <numFmt numFmtId="177" formatCode="0.0_ "/>
    <numFmt numFmtId="178" formatCode="#,##0_ "/>
    <numFmt numFmtId="179" formatCode="0.0%"/>
    <numFmt numFmtId="180" formatCode="0.00_ "/>
    <numFmt numFmtId="181" formatCode="0.000_ "/>
    <numFmt numFmtId="182" formatCode="[$-411]ggge&quot;年&quot;m&quot;月&quot;d&quot;日&quot;;@"/>
  </numFmts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標準明朝"/>
      <family val="1"/>
      <charset val="128"/>
    </font>
    <font>
      <sz val="11"/>
      <name val="ＭＳ Ｐゴシック"/>
      <family val="3"/>
      <charset val="128"/>
    </font>
    <font>
      <sz val="11"/>
      <color rgb="FFFF0000"/>
      <name val="Yu Gothic"/>
      <family val="2"/>
      <scheme val="minor"/>
    </font>
    <font>
      <i/>
      <sz val="11"/>
      <color theme="1"/>
      <name val="Yu Gothic"/>
      <family val="3"/>
      <charset val="128"/>
      <scheme val="minor"/>
    </font>
    <font>
      <sz val="11"/>
      <name val="ＭＳ 明朝"/>
      <family val="1"/>
      <charset val="128"/>
    </font>
    <font>
      <i/>
      <vertAlign val="subscript"/>
      <sz val="11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9450666829432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 style="thin">
        <color auto="1"/>
      </top>
      <bottom style="thin">
        <color auto="1"/>
      </bottom>
      <diagonal style="thin">
        <color auto="1"/>
      </diagonal>
    </border>
  </borders>
  <cellStyleXfs count="4">
    <xf numFmtId="0" fontId="0" fillId="0" borderId="0"/>
    <xf numFmtId="0" fontId="1" fillId="0" borderId="0">
      <alignment vertical="center"/>
    </xf>
    <xf numFmtId="0" fontId="5" fillId="0" borderId="0"/>
    <xf numFmtId="0" fontId="6" fillId="0" borderId="0"/>
  </cellStyleXfs>
  <cellXfs count="72">
    <xf numFmtId="0" fontId="0" fillId="0" borderId="0" xfId="0"/>
    <xf numFmtId="178" fontId="0" fillId="0" borderId="1" xfId="0" applyNumberFormat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Continuous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4" borderId="3" xfId="0" applyFill="1" applyBorder="1"/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179" fontId="0" fillId="5" borderId="4" xfId="0" applyNumberFormat="1" applyFill="1" applyBorder="1"/>
    <xf numFmtId="9" fontId="0" fillId="4" borderId="4" xfId="0" applyNumberFormat="1" applyFill="1" applyBorder="1"/>
    <xf numFmtId="180" fontId="0" fillId="4" borderId="4" xfId="0" applyNumberFormat="1" applyFill="1" applyBorder="1"/>
    <xf numFmtId="0" fontId="0" fillId="4" borderId="3" xfId="0" applyFill="1" applyBorder="1" applyAlignment="1">
      <alignment horizontal="centerContinuous"/>
    </xf>
    <xf numFmtId="0" fontId="0" fillId="0" borderId="0" xfId="0" applyAlignment="1">
      <alignment horizontal="centerContinuous"/>
    </xf>
    <xf numFmtId="179" fontId="0" fillId="4" borderId="4" xfId="0" applyNumberFormat="1" applyFill="1" applyBorder="1"/>
    <xf numFmtId="179" fontId="0" fillId="4" borderId="4" xfId="0" applyNumberForma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177" fontId="0" fillId="5" borderId="4" xfId="0" applyNumberFormat="1" applyFill="1" applyBorder="1"/>
    <xf numFmtId="0" fontId="7" fillId="0" borderId="0" xfId="0" applyFont="1"/>
    <xf numFmtId="0" fontId="0" fillId="6" borderId="3" xfId="0" applyFill="1" applyBorder="1"/>
    <xf numFmtId="177" fontId="0" fillId="5" borderId="1" xfId="0" applyNumberFormat="1" applyFill="1" applyBorder="1"/>
    <xf numFmtId="177" fontId="0" fillId="6" borderId="4" xfId="0" applyNumberFormat="1" applyFill="1" applyBorder="1"/>
    <xf numFmtId="177" fontId="0" fillId="4" borderId="4" xfId="0" applyNumberFormat="1" applyFill="1" applyBorder="1"/>
    <xf numFmtId="0" fontId="8" fillId="4" borderId="3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181" fontId="0" fillId="4" borderId="5" xfId="0" applyNumberFormat="1" applyFill="1" applyBorder="1"/>
    <xf numFmtId="177" fontId="0" fillId="4" borderId="4" xfId="0" applyNumberFormat="1" applyFill="1" applyBorder="1" applyAlignment="1">
      <alignment horizontal="center"/>
    </xf>
    <xf numFmtId="0" fontId="0" fillId="0" borderId="0" xfId="0" applyAlignment="1">
      <alignment horizontal="right"/>
    </xf>
    <xf numFmtId="176" fontId="0" fillId="0" borderId="0" xfId="0" applyNumberFormat="1"/>
    <xf numFmtId="177" fontId="0" fillId="7" borderId="0" xfId="0" applyNumberFormat="1" applyFill="1"/>
    <xf numFmtId="0" fontId="0" fillId="8" borderId="1" xfId="0" quotePrefix="1" applyFill="1" applyBorder="1" applyAlignment="1">
      <alignment horizontal="center" vertical="center"/>
    </xf>
    <xf numFmtId="0" fontId="0" fillId="8" borderId="1" xfId="0" quotePrefix="1" applyFill="1" applyBorder="1" applyAlignment="1">
      <alignment horizontal="center" vertical="center" wrapText="1"/>
    </xf>
    <xf numFmtId="182" fontId="0" fillId="0" borderId="0" xfId="0" applyNumberFormat="1"/>
    <xf numFmtId="177" fontId="0" fillId="0" borderId="0" xfId="0" applyNumberFormat="1"/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7" xfId="0" applyBorder="1"/>
    <xf numFmtId="177" fontId="0" fillId="5" borderId="7" xfId="0" applyNumberFormat="1" applyFill="1" applyBorder="1"/>
    <xf numFmtId="177" fontId="0" fillId="5" borderId="2" xfId="0" applyNumberFormat="1" applyFill="1" applyBorder="1"/>
    <xf numFmtId="0" fontId="0" fillId="6" borderId="1" xfId="0" applyFill="1" applyBorder="1" applyAlignment="1">
      <alignment horizontal="center"/>
    </xf>
    <xf numFmtId="177" fontId="0" fillId="6" borderId="0" xfId="0" applyNumberFormat="1" applyFill="1"/>
    <xf numFmtId="0" fontId="0" fillId="4" borderId="0" xfId="0" applyFill="1" applyAlignment="1">
      <alignment horizontal="centerContinuous"/>
    </xf>
    <xf numFmtId="0" fontId="0" fillId="9" borderId="0" xfId="0" applyFill="1" applyAlignment="1">
      <alignment horizontal="centerContinuous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1" xfId="0" applyBorder="1" applyAlignment="1">
      <alignment horizontal="centerContinuous"/>
    </xf>
    <xf numFmtId="0" fontId="0" fillId="0" borderId="13" xfId="0" applyBorder="1"/>
    <xf numFmtId="181" fontId="0" fillId="4" borderId="1" xfId="0" applyNumberFormat="1" applyFill="1" applyBorder="1"/>
    <xf numFmtId="181" fontId="0" fillId="4" borderId="12" xfId="0" applyNumberFormat="1" applyFill="1" applyBorder="1"/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10" borderId="0" xfId="0" applyFill="1" applyAlignment="1">
      <alignment horizontal="centerContinuous" vertical="center"/>
    </xf>
    <xf numFmtId="0" fontId="0" fillId="10" borderId="0" xfId="0" applyFill="1" applyAlignment="1">
      <alignment horizontal="centerContinuous"/>
    </xf>
    <xf numFmtId="0" fontId="0" fillId="5" borderId="1" xfId="0" applyFill="1" applyBorder="1"/>
    <xf numFmtId="0" fontId="0" fillId="5" borderId="12" xfId="0" applyFill="1" applyBorder="1"/>
    <xf numFmtId="0" fontId="0" fillId="5" borderId="6" xfId="0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0" fillId="5" borderId="0" xfId="0" applyFill="1" applyAlignment="1">
      <alignment vertical="top" wrapText="1"/>
    </xf>
    <xf numFmtId="0" fontId="0" fillId="5" borderId="9" xfId="0" applyFill="1" applyBorder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5" borderId="11" xfId="0" applyFill="1" applyBorder="1" applyAlignment="1">
      <alignment vertical="top" wrapTex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死亡率の年次推移（</a:t>
            </a:r>
            <a:r>
              <a:rPr lang="en-US" altLang="ja-JP"/>
              <a:t>5</a:t>
            </a:r>
            <a:r>
              <a:rPr lang="ja-JP" altLang="en-US"/>
              <a:t>大死因）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グラフのアニメーション用!$B$4</c:f>
              <c:strCache>
                <c:ptCount val="1"/>
                <c:pt idx="0">
                  <c:v>悪性新生物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グラフのアニメーション用!$A$5:$A$19</c:f>
              <c:numCache>
                <c:formatCode>General</c:formatCode>
                <c:ptCount val="15"/>
                <c:pt idx="0">
                  <c:v>1950</c:v>
                </c:pt>
                <c:pt idx="1">
                  <c:v>1955</c:v>
                </c:pt>
                <c:pt idx="2">
                  <c:v>1960</c:v>
                </c:pt>
                <c:pt idx="3">
                  <c:v>1965</c:v>
                </c:pt>
                <c:pt idx="4">
                  <c:v>1970</c:v>
                </c:pt>
                <c:pt idx="5">
                  <c:v>1975</c:v>
                </c:pt>
                <c:pt idx="6">
                  <c:v>1980</c:v>
                </c:pt>
                <c:pt idx="7">
                  <c:v>1985</c:v>
                </c:pt>
                <c:pt idx="8">
                  <c:v>1990</c:v>
                </c:pt>
                <c:pt idx="9">
                  <c:v>1995</c:v>
                </c:pt>
                <c:pt idx="10">
                  <c:v>2000</c:v>
                </c:pt>
                <c:pt idx="11">
                  <c:v>2005</c:v>
                </c:pt>
                <c:pt idx="12">
                  <c:v>2010</c:v>
                </c:pt>
                <c:pt idx="13">
                  <c:v>2015</c:v>
                </c:pt>
                <c:pt idx="14">
                  <c:v>2020</c:v>
                </c:pt>
              </c:numCache>
            </c:numRef>
          </c:cat>
          <c:val>
            <c:numRef>
              <c:f>グラフのアニメーション用!$B$5:$B$19</c:f>
              <c:numCache>
                <c:formatCode>#,##0_ </c:formatCode>
                <c:ptCount val="15"/>
                <c:pt idx="0">
                  <c:v>76.595525526884316</c:v>
                </c:pt>
                <c:pt idx="1">
                  <c:v>86.283235798191924</c:v>
                </c:pt>
                <c:pt idx="2">
                  <c:v>99.439433826075302</c:v>
                </c:pt>
                <c:pt idx="3">
                  <c:v>107.38527037081272</c:v>
                </c:pt>
                <c:pt idx="4">
                  <c:v>114.62934503780632</c:v>
                </c:pt>
                <c:pt idx="5">
                  <c:v>121.83619345650405</c:v>
                </c:pt>
                <c:pt idx="6">
                  <c:v>138.1884954498189</c:v>
                </c:pt>
                <c:pt idx="7">
                  <c:v>155.07283778146461</c:v>
                </c:pt>
                <c:pt idx="8">
                  <c:v>175.88459463375182</c:v>
                </c:pt>
                <c:pt idx="9">
                  <c:v>209.46204087232576</c:v>
                </c:pt>
                <c:pt idx="10">
                  <c:v>232.80050225862988</c:v>
                </c:pt>
                <c:pt idx="11">
                  <c:v>255.10379383431504</c:v>
                </c:pt>
                <c:pt idx="12">
                  <c:v>276.04740725858522</c:v>
                </c:pt>
                <c:pt idx="13">
                  <c:v>291.4062261189477</c:v>
                </c:pt>
                <c:pt idx="14">
                  <c:v>299.95774978344753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0F-4D3C-83F8-ACC4A659AD1C}"/>
            </c:ext>
          </c:extLst>
        </c:ser>
        <c:ser>
          <c:idx val="1"/>
          <c:order val="1"/>
          <c:tx>
            <c:strRef>
              <c:f>グラフのアニメーション用!$C$4</c:f>
              <c:strCache>
                <c:ptCount val="1"/>
                <c:pt idx="0">
                  <c:v>心疾患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グラフのアニメーション用!$A$5:$A$19</c:f>
              <c:numCache>
                <c:formatCode>General</c:formatCode>
                <c:ptCount val="15"/>
                <c:pt idx="0">
                  <c:v>1950</c:v>
                </c:pt>
                <c:pt idx="1">
                  <c:v>1955</c:v>
                </c:pt>
                <c:pt idx="2">
                  <c:v>1960</c:v>
                </c:pt>
                <c:pt idx="3">
                  <c:v>1965</c:v>
                </c:pt>
                <c:pt idx="4">
                  <c:v>1970</c:v>
                </c:pt>
                <c:pt idx="5">
                  <c:v>1975</c:v>
                </c:pt>
                <c:pt idx="6">
                  <c:v>1980</c:v>
                </c:pt>
                <c:pt idx="7">
                  <c:v>1985</c:v>
                </c:pt>
                <c:pt idx="8">
                  <c:v>1990</c:v>
                </c:pt>
                <c:pt idx="9">
                  <c:v>1995</c:v>
                </c:pt>
                <c:pt idx="10">
                  <c:v>2000</c:v>
                </c:pt>
                <c:pt idx="11">
                  <c:v>2005</c:v>
                </c:pt>
                <c:pt idx="12">
                  <c:v>2010</c:v>
                </c:pt>
                <c:pt idx="13">
                  <c:v>2015</c:v>
                </c:pt>
                <c:pt idx="14">
                  <c:v>2020</c:v>
                </c:pt>
              </c:numCache>
            </c:numRef>
          </c:cat>
          <c:val>
            <c:numRef>
              <c:f>グラフのアニメーション用!$C$5:$C$19</c:f>
              <c:numCache>
                <c:formatCode>#,##0_ </c:formatCode>
                <c:ptCount val="15"/>
                <c:pt idx="0">
                  <c:v>63.457493109339175</c:v>
                </c:pt>
                <c:pt idx="1">
                  <c:v>60.33864912787444</c:v>
                </c:pt>
                <c:pt idx="2">
                  <c:v>72.533216103820394</c:v>
                </c:pt>
                <c:pt idx="3">
                  <c:v>76.275232592739926</c:v>
                </c:pt>
                <c:pt idx="4">
                  <c:v>85.425743010537857</c:v>
                </c:pt>
                <c:pt idx="5">
                  <c:v>88.64241241148143</c:v>
                </c:pt>
                <c:pt idx="6">
                  <c:v>105.50536664851194</c:v>
                </c:pt>
                <c:pt idx="7">
                  <c:v>116.56196230676088</c:v>
                </c:pt>
                <c:pt idx="8">
                  <c:v>133.86978216943783</c:v>
                </c:pt>
                <c:pt idx="9">
                  <c:v>110.85906449526267</c:v>
                </c:pt>
                <c:pt idx="10">
                  <c:v>115.61160164994925</c:v>
                </c:pt>
                <c:pt idx="11">
                  <c:v>135.49950545517683</c:v>
                </c:pt>
                <c:pt idx="12">
                  <c:v>147.87202534064582</c:v>
                </c:pt>
                <c:pt idx="13">
                  <c:v>154.31558558931764</c:v>
                </c:pt>
                <c:pt idx="14">
                  <c:v>162.98244783613958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0F-4D3C-83F8-ACC4A659AD1C}"/>
            </c:ext>
          </c:extLst>
        </c:ser>
        <c:ser>
          <c:idx val="2"/>
          <c:order val="2"/>
          <c:tx>
            <c:strRef>
              <c:f>グラフのアニメーション用!$D$4</c:f>
              <c:strCache>
                <c:ptCount val="1"/>
                <c:pt idx="0">
                  <c:v>脳血管疾患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グラフのアニメーション用!$A$5:$A$19</c:f>
              <c:numCache>
                <c:formatCode>General</c:formatCode>
                <c:ptCount val="15"/>
                <c:pt idx="0">
                  <c:v>1950</c:v>
                </c:pt>
                <c:pt idx="1">
                  <c:v>1955</c:v>
                </c:pt>
                <c:pt idx="2">
                  <c:v>1960</c:v>
                </c:pt>
                <c:pt idx="3">
                  <c:v>1965</c:v>
                </c:pt>
                <c:pt idx="4">
                  <c:v>1970</c:v>
                </c:pt>
                <c:pt idx="5">
                  <c:v>1975</c:v>
                </c:pt>
                <c:pt idx="6">
                  <c:v>1980</c:v>
                </c:pt>
                <c:pt idx="7">
                  <c:v>1985</c:v>
                </c:pt>
                <c:pt idx="8">
                  <c:v>1990</c:v>
                </c:pt>
                <c:pt idx="9">
                  <c:v>1995</c:v>
                </c:pt>
                <c:pt idx="10">
                  <c:v>2000</c:v>
                </c:pt>
                <c:pt idx="11">
                  <c:v>2005</c:v>
                </c:pt>
                <c:pt idx="12">
                  <c:v>2010</c:v>
                </c:pt>
                <c:pt idx="13">
                  <c:v>2015</c:v>
                </c:pt>
                <c:pt idx="14">
                  <c:v>2020</c:v>
                </c:pt>
              </c:numCache>
            </c:numRef>
          </c:cat>
          <c:val>
            <c:numRef>
              <c:f>グラフのアニメーション用!$D$5:$D$19</c:f>
              <c:numCache>
                <c:formatCode>#,##0_ </c:formatCode>
                <c:ptCount val="15"/>
                <c:pt idx="0">
                  <c:v>125.69522137745119</c:v>
                </c:pt>
                <c:pt idx="1">
                  <c:v>134.88964735944612</c:v>
                </c:pt>
                <c:pt idx="2">
                  <c:v>159.17965696094117</c:v>
                </c:pt>
                <c:pt idx="3">
                  <c:v>174.15029020966082</c:v>
                </c:pt>
                <c:pt idx="4">
                  <c:v>173.23336719146047</c:v>
                </c:pt>
                <c:pt idx="5">
                  <c:v>155.7687654944549</c:v>
                </c:pt>
                <c:pt idx="6">
                  <c:v>138.66090116421611</c:v>
                </c:pt>
                <c:pt idx="7">
                  <c:v>111.52019915121426</c:v>
                </c:pt>
                <c:pt idx="8">
                  <c:v>98.651281239016214</c:v>
                </c:pt>
                <c:pt idx="9">
                  <c:v>116.70917647163007</c:v>
                </c:pt>
                <c:pt idx="10">
                  <c:v>104.41451233851565</c:v>
                </c:pt>
                <c:pt idx="11">
                  <c:v>103.97517863511264</c:v>
                </c:pt>
                <c:pt idx="12">
                  <c:v>96.410708227045021</c:v>
                </c:pt>
                <c:pt idx="13">
                  <c:v>88.102777184060599</c:v>
                </c:pt>
                <c:pt idx="14">
                  <c:v>81.633915607647921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0F-4D3C-83F8-ACC4A659AD1C}"/>
            </c:ext>
          </c:extLst>
        </c:ser>
        <c:ser>
          <c:idx val="3"/>
          <c:order val="3"/>
          <c:tx>
            <c:strRef>
              <c:f>グラフのアニメーション用!$E$4</c:f>
              <c:strCache>
                <c:ptCount val="1"/>
                <c:pt idx="0">
                  <c:v>肺炎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グラフのアニメーション用!$A$5:$A$19</c:f>
              <c:numCache>
                <c:formatCode>General</c:formatCode>
                <c:ptCount val="15"/>
                <c:pt idx="0">
                  <c:v>1950</c:v>
                </c:pt>
                <c:pt idx="1">
                  <c:v>1955</c:v>
                </c:pt>
                <c:pt idx="2">
                  <c:v>1960</c:v>
                </c:pt>
                <c:pt idx="3">
                  <c:v>1965</c:v>
                </c:pt>
                <c:pt idx="4">
                  <c:v>1970</c:v>
                </c:pt>
                <c:pt idx="5">
                  <c:v>1975</c:v>
                </c:pt>
                <c:pt idx="6">
                  <c:v>1980</c:v>
                </c:pt>
                <c:pt idx="7">
                  <c:v>1985</c:v>
                </c:pt>
                <c:pt idx="8">
                  <c:v>1990</c:v>
                </c:pt>
                <c:pt idx="9">
                  <c:v>1995</c:v>
                </c:pt>
                <c:pt idx="10">
                  <c:v>2000</c:v>
                </c:pt>
                <c:pt idx="11">
                  <c:v>2005</c:v>
                </c:pt>
                <c:pt idx="12">
                  <c:v>2010</c:v>
                </c:pt>
                <c:pt idx="13">
                  <c:v>2015</c:v>
                </c:pt>
                <c:pt idx="14">
                  <c:v>2020</c:v>
                </c:pt>
              </c:numCache>
            </c:numRef>
          </c:cat>
          <c:val>
            <c:numRef>
              <c:f>グラフのアニメーション用!$E$5:$E$19</c:f>
              <c:numCache>
                <c:formatCode>#,##0_ </c:formatCode>
                <c:ptCount val="15"/>
                <c:pt idx="0">
                  <c:v>64.399065969233817</c:v>
                </c:pt>
                <c:pt idx="1">
                  <c:v>38.088695938036913</c:v>
                </c:pt>
                <c:pt idx="2">
                  <c:v>39.802072123403434</c:v>
                </c:pt>
                <c:pt idx="3">
                  <c:v>30.106097989744633</c:v>
                </c:pt>
                <c:pt idx="4">
                  <c:v>26.68413927303477</c:v>
                </c:pt>
                <c:pt idx="5">
                  <c:v>27.194119245136417</c:v>
                </c:pt>
                <c:pt idx="6">
                  <c:v>28.234143339135809</c:v>
                </c:pt>
                <c:pt idx="7">
                  <c:v>37.237010361504829</c:v>
                </c:pt>
                <c:pt idx="8">
                  <c:v>55.16815483183651</c:v>
                </c:pt>
                <c:pt idx="9">
                  <c:v>63.41390778194382</c:v>
                </c:pt>
                <c:pt idx="10">
                  <c:v>68.495113323769687</c:v>
                </c:pt>
                <c:pt idx="11">
                  <c:v>83.934165860035336</c:v>
                </c:pt>
                <c:pt idx="12">
                  <c:v>92.839652033410786</c:v>
                </c:pt>
                <c:pt idx="13">
                  <c:v>95.172306297951181</c:v>
                </c:pt>
                <c:pt idx="14">
                  <c:v>62.189794707801468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0F-4D3C-83F8-ACC4A659AD1C}"/>
            </c:ext>
          </c:extLst>
        </c:ser>
        <c:ser>
          <c:idx val="4"/>
          <c:order val="4"/>
          <c:tx>
            <c:strRef>
              <c:f>グラフのアニメーション用!$F$4</c:f>
              <c:strCache>
                <c:ptCount val="1"/>
                <c:pt idx="0">
                  <c:v>老衰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グラフのアニメーション用!$A$5:$A$19</c:f>
              <c:numCache>
                <c:formatCode>General</c:formatCode>
                <c:ptCount val="15"/>
                <c:pt idx="0">
                  <c:v>1950</c:v>
                </c:pt>
                <c:pt idx="1">
                  <c:v>1955</c:v>
                </c:pt>
                <c:pt idx="2">
                  <c:v>1960</c:v>
                </c:pt>
                <c:pt idx="3">
                  <c:v>1965</c:v>
                </c:pt>
                <c:pt idx="4">
                  <c:v>1970</c:v>
                </c:pt>
                <c:pt idx="5">
                  <c:v>1975</c:v>
                </c:pt>
                <c:pt idx="6">
                  <c:v>1980</c:v>
                </c:pt>
                <c:pt idx="7">
                  <c:v>1985</c:v>
                </c:pt>
                <c:pt idx="8">
                  <c:v>1990</c:v>
                </c:pt>
                <c:pt idx="9">
                  <c:v>1995</c:v>
                </c:pt>
                <c:pt idx="10">
                  <c:v>2000</c:v>
                </c:pt>
                <c:pt idx="11">
                  <c:v>2005</c:v>
                </c:pt>
                <c:pt idx="12">
                  <c:v>2010</c:v>
                </c:pt>
                <c:pt idx="13">
                  <c:v>2015</c:v>
                </c:pt>
                <c:pt idx="14">
                  <c:v>2020</c:v>
                </c:pt>
              </c:numCache>
            </c:numRef>
          </c:cat>
          <c:val>
            <c:numRef>
              <c:f>グラフのアニメーション用!$F$5:$F$19</c:f>
              <c:numCache>
                <c:formatCode>#,##0_ </c:formatCode>
                <c:ptCount val="15"/>
                <c:pt idx="0">
                  <c:v>69.443376126472444</c:v>
                </c:pt>
                <c:pt idx="1">
                  <c:v>66.534487305325953</c:v>
                </c:pt>
                <c:pt idx="2">
                  <c:v>57.410464717028255</c:v>
                </c:pt>
                <c:pt idx="3">
                  <c:v>49.483345470488267</c:v>
                </c:pt>
                <c:pt idx="4">
                  <c:v>37.526332422463632</c:v>
                </c:pt>
                <c:pt idx="5">
                  <c:v>26.725116498718869</c:v>
                </c:pt>
                <c:pt idx="6">
                  <c:v>27.46787222554757</c:v>
                </c:pt>
                <c:pt idx="7">
                  <c:v>22.969225426317919</c:v>
                </c:pt>
                <c:pt idx="8">
                  <c:v>19.567002389031728</c:v>
                </c:pt>
                <c:pt idx="9">
                  <c:v>17.116315914520069</c:v>
                </c:pt>
                <c:pt idx="10">
                  <c:v>16.712908497286875</c:v>
                </c:pt>
                <c:pt idx="11">
                  <c:v>20.631144917247429</c:v>
                </c:pt>
                <c:pt idx="12">
                  <c:v>35.407572694459589</c:v>
                </c:pt>
                <c:pt idx="13">
                  <c:v>66.736826923882646</c:v>
                </c:pt>
                <c:pt idx="14">
                  <c:v>104.98937426515266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0F-4D3C-83F8-ACC4A659A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041016"/>
        <c:axId val="451041800"/>
      </c:lineChart>
      <c:catAx>
        <c:axId val="451041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" panose="02040604050505020304" pitchFamily="18" charset="0"/>
                <a:ea typeface="+mn-ea"/>
                <a:cs typeface="+mn-cs"/>
              </a:defRPr>
            </a:pPr>
            <a:endParaRPr lang="ja-JP"/>
          </a:p>
        </c:txPr>
        <c:crossAx val="451041800"/>
        <c:crosses val="autoZero"/>
        <c:auto val="1"/>
        <c:lblAlgn val="ctr"/>
        <c:lblOffset val="100"/>
        <c:noMultiLvlLbl val="0"/>
      </c:catAx>
      <c:valAx>
        <c:axId val="45104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死亡率（人口</a:t>
                </a:r>
                <a:r>
                  <a:rPr lang="en-US" altLang="ja-JP"/>
                  <a:t>10</a:t>
                </a:r>
                <a:r>
                  <a:rPr lang="ja-JP" altLang="en-US"/>
                  <a:t>万対）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" panose="02040604050505020304" pitchFamily="18" charset="0"/>
                <a:ea typeface="+mn-ea"/>
                <a:cs typeface="+mn-cs"/>
              </a:defRPr>
            </a:pPr>
            <a:endParaRPr lang="ja-JP"/>
          </a:p>
        </c:txPr>
        <c:crossAx val="451041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9999893952649854E-2"/>
          <c:y val="0.18083052649580275"/>
          <c:w val="0.88242424242424244"/>
          <c:h val="6.37398228904106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276224</xdr:colOff>
      <xdr:row>3</xdr:row>
      <xdr:rowOff>219074</xdr:rowOff>
    </xdr:from>
    <xdr:to>
      <xdr:col>15</xdr:col>
      <xdr:colOff>190499</xdr:colOff>
      <xdr:row>18</xdr:row>
      <xdr:rowOff>9524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abSelected="1" workbookViewId="0">
      <pane ySplit="11" topLeftCell="A12" activePane="bottomLeft" state="frozen"/>
      <selection pane="bottomLeft"/>
    </sheetView>
  </sheetViews>
  <sheetFormatPr defaultRowHeight="18.75"/>
  <cols>
    <col min="1" max="2" width="7.125" style="2" customWidth="1"/>
    <col min="3" max="7" width="11.875" customWidth="1"/>
  </cols>
  <sheetData>
    <row r="1" spans="1:7">
      <c r="A1" s="6" t="s">
        <v>194</v>
      </c>
    </row>
    <row r="2" spans="1:7">
      <c r="C2" s="9" t="s">
        <v>11</v>
      </c>
      <c r="D2" s="8">
        <f>COUNT(B12:B111)</f>
        <v>100</v>
      </c>
    </row>
    <row r="4" spans="1:7">
      <c r="B4" s="29" t="s">
        <v>12</v>
      </c>
      <c r="C4" s="9" t="s">
        <v>13</v>
      </c>
      <c r="D4" s="11"/>
      <c r="E4" t="s">
        <v>14</v>
      </c>
    </row>
    <row r="6" spans="1:7">
      <c r="C6" s="9" t="s">
        <v>15</v>
      </c>
      <c r="D6" s="12">
        <v>0.95</v>
      </c>
      <c r="F6" s="9" t="s">
        <v>17</v>
      </c>
      <c r="G6" s="10">
        <f>(D4*(1-D4)/D2)^0.5</f>
        <v>0</v>
      </c>
    </row>
    <row r="7" spans="1:7">
      <c r="C7" s="7" t="s">
        <v>16</v>
      </c>
      <c r="D7" s="13">
        <f>_xlfn.NORM.S.INV(1-(1-D6)/2)</f>
        <v>1.9599639845400536</v>
      </c>
    </row>
    <row r="9" spans="1:7">
      <c r="C9" s="15" t="s">
        <v>19</v>
      </c>
      <c r="D9" s="14" t="s">
        <v>20</v>
      </c>
      <c r="E9" s="17">
        <f>D4-D7*G6</f>
        <v>0</v>
      </c>
      <c r="F9" s="9" t="s">
        <v>18</v>
      </c>
      <c r="G9" s="16">
        <f>D4+D7*G6</f>
        <v>0</v>
      </c>
    </row>
    <row r="11" spans="1:7">
      <c r="A11" s="2" t="s">
        <v>9</v>
      </c>
      <c r="B11" s="2" t="s">
        <v>10</v>
      </c>
    </row>
    <row r="12" spans="1:7">
      <c r="A12" s="2">
        <v>1</v>
      </c>
      <c r="B12" s="2">
        <v>0</v>
      </c>
    </row>
    <row r="13" spans="1:7">
      <c r="A13" s="2">
        <v>2</v>
      </c>
      <c r="B13" s="2">
        <v>0</v>
      </c>
    </row>
    <row r="14" spans="1:7">
      <c r="A14" s="2">
        <v>3</v>
      </c>
      <c r="B14" s="2">
        <v>0</v>
      </c>
    </row>
    <row r="15" spans="1:7">
      <c r="A15" s="2">
        <v>4</v>
      </c>
      <c r="B15" s="2">
        <v>0</v>
      </c>
    </row>
    <row r="16" spans="1:7">
      <c r="A16" s="2">
        <v>5</v>
      </c>
      <c r="B16" s="2">
        <v>1</v>
      </c>
    </row>
    <row r="17" spans="1:2">
      <c r="A17" s="2">
        <v>6</v>
      </c>
      <c r="B17" s="2">
        <v>0</v>
      </c>
    </row>
    <row r="18" spans="1:2">
      <c r="A18" s="2">
        <v>7</v>
      </c>
      <c r="B18" s="2">
        <v>0</v>
      </c>
    </row>
    <row r="19" spans="1:2">
      <c r="A19" s="2">
        <v>8</v>
      </c>
      <c r="B19" s="2">
        <v>0</v>
      </c>
    </row>
    <row r="20" spans="1:2">
      <c r="A20" s="2">
        <v>9</v>
      </c>
      <c r="B20" s="2">
        <v>0</v>
      </c>
    </row>
    <row r="21" spans="1:2">
      <c r="A21" s="2">
        <v>10</v>
      </c>
      <c r="B21" s="2">
        <v>0</v>
      </c>
    </row>
    <row r="22" spans="1:2">
      <c r="A22" s="2">
        <v>11</v>
      </c>
      <c r="B22" s="2">
        <v>1</v>
      </c>
    </row>
    <row r="23" spans="1:2">
      <c r="A23" s="2">
        <v>12</v>
      </c>
      <c r="B23" s="2">
        <v>1</v>
      </c>
    </row>
    <row r="24" spans="1:2">
      <c r="A24" s="2">
        <v>13</v>
      </c>
      <c r="B24" s="2">
        <v>0</v>
      </c>
    </row>
    <row r="25" spans="1:2">
      <c r="A25" s="2">
        <v>14</v>
      </c>
      <c r="B25" s="2">
        <v>0</v>
      </c>
    </row>
    <row r="26" spans="1:2">
      <c r="A26" s="2">
        <v>15</v>
      </c>
      <c r="B26" s="2">
        <v>0</v>
      </c>
    </row>
    <row r="27" spans="1:2">
      <c r="A27" s="2">
        <v>16</v>
      </c>
      <c r="B27" s="2">
        <v>0</v>
      </c>
    </row>
    <row r="28" spans="1:2">
      <c r="A28" s="2">
        <v>17</v>
      </c>
      <c r="B28" s="2">
        <v>0</v>
      </c>
    </row>
    <row r="29" spans="1:2">
      <c r="A29" s="2">
        <v>18</v>
      </c>
      <c r="B29" s="2">
        <v>0</v>
      </c>
    </row>
    <row r="30" spans="1:2">
      <c r="A30" s="2">
        <v>19</v>
      </c>
      <c r="B30" s="2">
        <v>0</v>
      </c>
    </row>
    <row r="31" spans="1:2">
      <c r="A31" s="2">
        <v>20</v>
      </c>
      <c r="B31" s="2">
        <v>0</v>
      </c>
    </row>
    <row r="32" spans="1:2">
      <c r="A32" s="2">
        <v>21</v>
      </c>
      <c r="B32" s="2">
        <v>0</v>
      </c>
    </row>
    <row r="33" spans="1:2">
      <c r="A33" s="2">
        <v>22</v>
      </c>
      <c r="B33" s="2">
        <v>1</v>
      </c>
    </row>
    <row r="34" spans="1:2">
      <c r="A34" s="2">
        <v>23</v>
      </c>
      <c r="B34" s="2">
        <v>0</v>
      </c>
    </row>
    <row r="35" spans="1:2">
      <c r="A35" s="2">
        <v>24</v>
      </c>
      <c r="B35" s="2">
        <v>0</v>
      </c>
    </row>
    <row r="36" spans="1:2">
      <c r="A36" s="2">
        <v>25</v>
      </c>
      <c r="B36" s="2">
        <v>1</v>
      </c>
    </row>
    <row r="37" spans="1:2">
      <c r="A37" s="2">
        <v>26</v>
      </c>
      <c r="B37" s="2">
        <v>1</v>
      </c>
    </row>
    <row r="38" spans="1:2">
      <c r="A38" s="2">
        <v>27</v>
      </c>
      <c r="B38" s="2">
        <v>0</v>
      </c>
    </row>
    <row r="39" spans="1:2">
      <c r="A39" s="2">
        <v>28</v>
      </c>
      <c r="B39" s="2">
        <v>0</v>
      </c>
    </row>
    <row r="40" spans="1:2">
      <c r="A40" s="2">
        <v>29</v>
      </c>
      <c r="B40" s="2">
        <v>0</v>
      </c>
    </row>
    <row r="41" spans="1:2">
      <c r="A41" s="2">
        <v>30</v>
      </c>
      <c r="B41" s="2">
        <v>0</v>
      </c>
    </row>
    <row r="42" spans="1:2">
      <c r="A42" s="2">
        <v>31</v>
      </c>
      <c r="B42" s="2">
        <v>0</v>
      </c>
    </row>
    <row r="43" spans="1:2">
      <c r="A43" s="2">
        <v>32</v>
      </c>
      <c r="B43" s="2">
        <v>0</v>
      </c>
    </row>
    <row r="44" spans="1:2">
      <c r="A44" s="2">
        <v>33</v>
      </c>
      <c r="B44" s="2">
        <v>0</v>
      </c>
    </row>
    <row r="45" spans="1:2">
      <c r="A45" s="2">
        <v>34</v>
      </c>
      <c r="B45" s="2">
        <v>0</v>
      </c>
    </row>
    <row r="46" spans="1:2">
      <c r="A46" s="2">
        <v>35</v>
      </c>
      <c r="B46" s="2">
        <v>0</v>
      </c>
    </row>
    <row r="47" spans="1:2">
      <c r="A47" s="2">
        <v>36</v>
      </c>
      <c r="B47" s="2">
        <v>0</v>
      </c>
    </row>
    <row r="48" spans="1:2">
      <c r="A48" s="2">
        <v>37</v>
      </c>
      <c r="B48" s="2">
        <v>1</v>
      </c>
    </row>
    <row r="49" spans="1:2">
      <c r="A49" s="2">
        <v>38</v>
      </c>
      <c r="B49" s="2">
        <v>1</v>
      </c>
    </row>
    <row r="50" spans="1:2">
      <c r="A50" s="2">
        <v>39</v>
      </c>
      <c r="B50" s="2">
        <v>0</v>
      </c>
    </row>
    <row r="51" spans="1:2">
      <c r="A51" s="2">
        <v>40</v>
      </c>
      <c r="B51" s="2">
        <v>0</v>
      </c>
    </row>
    <row r="52" spans="1:2">
      <c r="A52" s="2">
        <v>41</v>
      </c>
      <c r="B52" s="2">
        <v>0</v>
      </c>
    </row>
    <row r="53" spans="1:2">
      <c r="A53" s="2">
        <v>42</v>
      </c>
      <c r="B53" s="2">
        <v>1</v>
      </c>
    </row>
    <row r="54" spans="1:2">
      <c r="A54" s="2">
        <v>43</v>
      </c>
      <c r="B54" s="2">
        <v>0</v>
      </c>
    </row>
    <row r="55" spans="1:2">
      <c r="A55" s="2">
        <v>44</v>
      </c>
      <c r="B55" s="2">
        <v>0</v>
      </c>
    </row>
    <row r="56" spans="1:2">
      <c r="A56" s="2">
        <v>45</v>
      </c>
      <c r="B56" s="2">
        <v>0</v>
      </c>
    </row>
    <row r="57" spans="1:2">
      <c r="A57" s="2">
        <v>46</v>
      </c>
      <c r="B57" s="2">
        <v>0</v>
      </c>
    </row>
    <row r="58" spans="1:2">
      <c r="A58" s="2">
        <v>47</v>
      </c>
      <c r="B58" s="2">
        <v>0</v>
      </c>
    </row>
    <row r="59" spans="1:2">
      <c r="A59" s="2">
        <v>48</v>
      </c>
      <c r="B59" s="2">
        <v>1</v>
      </c>
    </row>
    <row r="60" spans="1:2">
      <c r="A60" s="2">
        <v>49</v>
      </c>
      <c r="B60" s="2">
        <v>0</v>
      </c>
    </row>
    <row r="61" spans="1:2">
      <c r="A61" s="2">
        <v>50</v>
      </c>
      <c r="B61" s="2">
        <v>0</v>
      </c>
    </row>
    <row r="62" spans="1:2">
      <c r="A62" s="2">
        <v>51</v>
      </c>
      <c r="B62" s="2">
        <v>0</v>
      </c>
    </row>
    <row r="63" spans="1:2">
      <c r="A63" s="2">
        <v>52</v>
      </c>
      <c r="B63" s="2">
        <v>0</v>
      </c>
    </row>
    <row r="64" spans="1:2">
      <c r="A64" s="2">
        <v>53</v>
      </c>
      <c r="B64" s="2">
        <v>1</v>
      </c>
    </row>
    <row r="65" spans="1:2">
      <c r="A65" s="2">
        <v>54</v>
      </c>
      <c r="B65" s="2">
        <v>0</v>
      </c>
    </row>
    <row r="66" spans="1:2">
      <c r="A66" s="2">
        <v>55</v>
      </c>
      <c r="B66" s="2">
        <v>0</v>
      </c>
    </row>
    <row r="67" spans="1:2">
      <c r="A67" s="2">
        <v>56</v>
      </c>
      <c r="B67" s="2">
        <v>0</v>
      </c>
    </row>
    <row r="68" spans="1:2">
      <c r="A68" s="2">
        <v>57</v>
      </c>
      <c r="B68" s="2">
        <v>0</v>
      </c>
    </row>
    <row r="69" spans="1:2">
      <c r="A69" s="2">
        <v>58</v>
      </c>
      <c r="B69" s="2">
        <v>0</v>
      </c>
    </row>
    <row r="70" spans="1:2">
      <c r="A70" s="2">
        <v>59</v>
      </c>
      <c r="B70" s="2">
        <v>0</v>
      </c>
    </row>
    <row r="71" spans="1:2">
      <c r="A71" s="2">
        <v>60</v>
      </c>
      <c r="B71" s="2">
        <v>0</v>
      </c>
    </row>
    <row r="72" spans="1:2">
      <c r="A72" s="2">
        <v>61</v>
      </c>
      <c r="B72" s="2">
        <v>0</v>
      </c>
    </row>
    <row r="73" spans="1:2">
      <c r="A73" s="2">
        <v>62</v>
      </c>
      <c r="B73" s="2">
        <v>0</v>
      </c>
    </row>
    <row r="74" spans="1:2">
      <c r="A74" s="2">
        <v>63</v>
      </c>
      <c r="B74" s="2">
        <v>1</v>
      </c>
    </row>
    <row r="75" spans="1:2">
      <c r="A75" s="2">
        <v>64</v>
      </c>
      <c r="B75" s="2">
        <v>0</v>
      </c>
    </row>
    <row r="76" spans="1:2">
      <c r="A76" s="2">
        <v>65</v>
      </c>
      <c r="B76" s="2">
        <v>0</v>
      </c>
    </row>
    <row r="77" spans="1:2">
      <c r="A77" s="2">
        <v>66</v>
      </c>
      <c r="B77" s="2">
        <v>0</v>
      </c>
    </row>
    <row r="78" spans="1:2">
      <c r="A78" s="2">
        <v>67</v>
      </c>
      <c r="B78" s="2">
        <v>0</v>
      </c>
    </row>
    <row r="79" spans="1:2">
      <c r="A79" s="2">
        <v>68</v>
      </c>
      <c r="B79" s="2">
        <v>0</v>
      </c>
    </row>
    <row r="80" spans="1:2">
      <c r="A80" s="2">
        <v>69</v>
      </c>
      <c r="B80" s="2">
        <v>1</v>
      </c>
    </row>
    <row r="81" spans="1:2">
      <c r="A81" s="2">
        <v>70</v>
      </c>
      <c r="B81" s="2">
        <v>0</v>
      </c>
    </row>
    <row r="82" spans="1:2">
      <c r="A82" s="2">
        <v>71</v>
      </c>
      <c r="B82" s="2">
        <v>0</v>
      </c>
    </row>
    <row r="83" spans="1:2">
      <c r="A83" s="2">
        <v>72</v>
      </c>
      <c r="B83" s="2">
        <v>0</v>
      </c>
    </row>
    <row r="84" spans="1:2">
      <c r="A84" s="2">
        <v>73</v>
      </c>
      <c r="B84" s="2">
        <v>0</v>
      </c>
    </row>
    <row r="85" spans="1:2">
      <c r="A85" s="2">
        <v>74</v>
      </c>
      <c r="B85" s="2">
        <v>1</v>
      </c>
    </row>
    <row r="86" spans="1:2">
      <c r="A86" s="2">
        <v>75</v>
      </c>
      <c r="B86" s="2">
        <v>0</v>
      </c>
    </row>
    <row r="87" spans="1:2">
      <c r="A87" s="2">
        <v>76</v>
      </c>
      <c r="B87" s="2">
        <v>0</v>
      </c>
    </row>
    <row r="88" spans="1:2">
      <c r="A88" s="2">
        <v>77</v>
      </c>
      <c r="B88" s="2">
        <v>0</v>
      </c>
    </row>
    <row r="89" spans="1:2">
      <c r="A89" s="2">
        <v>78</v>
      </c>
      <c r="B89" s="2">
        <v>0</v>
      </c>
    </row>
    <row r="90" spans="1:2">
      <c r="A90" s="2">
        <v>79</v>
      </c>
      <c r="B90" s="2">
        <v>0</v>
      </c>
    </row>
    <row r="91" spans="1:2">
      <c r="A91" s="2">
        <v>80</v>
      </c>
      <c r="B91" s="2">
        <v>0</v>
      </c>
    </row>
    <row r="92" spans="1:2">
      <c r="A92" s="2">
        <v>81</v>
      </c>
      <c r="B92" s="2">
        <v>1</v>
      </c>
    </row>
    <row r="93" spans="1:2">
      <c r="A93" s="2">
        <v>82</v>
      </c>
      <c r="B93" s="2">
        <v>0</v>
      </c>
    </row>
    <row r="94" spans="1:2">
      <c r="A94" s="2">
        <v>83</v>
      </c>
      <c r="B94" s="2">
        <v>1</v>
      </c>
    </row>
    <row r="95" spans="1:2">
      <c r="A95" s="2">
        <v>84</v>
      </c>
      <c r="B95" s="2">
        <v>0</v>
      </c>
    </row>
    <row r="96" spans="1:2">
      <c r="A96" s="2">
        <v>85</v>
      </c>
      <c r="B96" s="2">
        <v>1</v>
      </c>
    </row>
    <row r="97" spans="1:2">
      <c r="A97" s="2">
        <v>86</v>
      </c>
      <c r="B97" s="2">
        <v>0</v>
      </c>
    </row>
    <row r="98" spans="1:2">
      <c r="A98" s="2">
        <v>87</v>
      </c>
      <c r="B98" s="2">
        <v>0</v>
      </c>
    </row>
    <row r="99" spans="1:2">
      <c r="A99" s="2">
        <v>88</v>
      </c>
      <c r="B99" s="2">
        <v>1</v>
      </c>
    </row>
    <row r="100" spans="1:2">
      <c r="A100" s="2">
        <v>89</v>
      </c>
      <c r="B100" s="2">
        <v>0</v>
      </c>
    </row>
    <row r="101" spans="1:2">
      <c r="A101" s="2">
        <v>90</v>
      </c>
      <c r="B101" s="2">
        <v>1</v>
      </c>
    </row>
    <row r="102" spans="1:2">
      <c r="A102" s="2">
        <v>91</v>
      </c>
      <c r="B102" s="2">
        <v>0</v>
      </c>
    </row>
    <row r="103" spans="1:2">
      <c r="A103" s="2">
        <v>92</v>
      </c>
      <c r="B103" s="2">
        <v>0</v>
      </c>
    </row>
    <row r="104" spans="1:2">
      <c r="A104" s="2">
        <v>93</v>
      </c>
      <c r="B104" s="2">
        <v>0</v>
      </c>
    </row>
    <row r="105" spans="1:2">
      <c r="A105" s="2">
        <v>94</v>
      </c>
      <c r="B105" s="2">
        <v>0</v>
      </c>
    </row>
    <row r="106" spans="1:2">
      <c r="A106" s="2">
        <v>95</v>
      </c>
      <c r="B106" s="2">
        <v>0</v>
      </c>
    </row>
    <row r="107" spans="1:2">
      <c r="A107" s="2">
        <v>96</v>
      </c>
      <c r="B107" s="2">
        <v>1</v>
      </c>
    </row>
    <row r="108" spans="1:2">
      <c r="A108" s="2">
        <v>97</v>
      </c>
      <c r="B108" s="2">
        <v>0</v>
      </c>
    </row>
    <row r="109" spans="1:2">
      <c r="A109" s="2">
        <v>98</v>
      </c>
      <c r="B109" s="2">
        <v>0</v>
      </c>
    </row>
    <row r="110" spans="1:2">
      <c r="A110" s="2">
        <v>99</v>
      </c>
      <c r="B110" s="2">
        <v>0</v>
      </c>
    </row>
    <row r="111" spans="1:2">
      <c r="A111" s="2">
        <v>100</v>
      </c>
      <c r="B111" s="2">
        <v>0</v>
      </c>
    </row>
  </sheetData>
  <sortState xmlns:xlrd2="http://schemas.microsoft.com/office/spreadsheetml/2017/richdata2" ref="B7:C106">
    <sortCondition ref="C7:C106"/>
  </sortState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2"/>
  <sheetViews>
    <sheetView workbookViewId="0">
      <pane ySplit="11" topLeftCell="A12" activePane="bottomLeft" state="frozen"/>
      <selection pane="bottomLeft"/>
    </sheetView>
  </sheetViews>
  <sheetFormatPr defaultRowHeight="18.75"/>
  <cols>
    <col min="1" max="1" width="6" style="2" customWidth="1"/>
    <col min="2" max="2" width="9" style="2"/>
    <col min="3" max="9" width="11.625" customWidth="1"/>
  </cols>
  <sheetData>
    <row r="1" spans="1:16">
      <c r="A1" s="6" t="s">
        <v>195</v>
      </c>
    </row>
    <row r="2" spans="1:16">
      <c r="C2" s="9" t="s">
        <v>11</v>
      </c>
      <c r="D2" s="8">
        <f>COUNT(B12:B111)</f>
        <v>100</v>
      </c>
    </row>
    <row r="3" spans="1:16">
      <c r="F3" s="20" t="s">
        <v>27</v>
      </c>
    </row>
    <row r="4" spans="1:16">
      <c r="B4" s="2" t="s">
        <v>23</v>
      </c>
      <c r="C4" s="9" t="s">
        <v>24</v>
      </c>
      <c r="D4" s="19"/>
      <c r="F4" s="21" t="s">
        <v>26</v>
      </c>
      <c r="G4" s="22"/>
      <c r="H4" s="21" t="s">
        <v>25</v>
      </c>
      <c r="I4" s="23">
        <f>G4^0.5</f>
        <v>0</v>
      </c>
    </row>
    <row r="6" spans="1:16">
      <c r="C6" s="9" t="s">
        <v>15</v>
      </c>
      <c r="D6" s="12">
        <v>0.95</v>
      </c>
      <c r="F6" s="9" t="s">
        <v>17</v>
      </c>
      <c r="G6" s="13">
        <f>(I4/D2^0.5)</f>
        <v>0</v>
      </c>
      <c r="I6" s="7" t="s">
        <v>28</v>
      </c>
      <c r="J6" s="24">
        <v>159</v>
      </c>
    </row>
    <row r="7" spans="1:16">
      <c r="C7" s="7" t="s">
        <v>16</v>
      </c>
      <c r="D7" s="13">
        <f>_xlfn.NORM.S.INV(1-(1-D6)/2)</f>
        <v>1.9599639845400536</v>
      </c>
      <c r="I7" s="25" t="s">
        <v>29</v>
      </c>
      <c r="J7" s="13" t="e">
        <f>(D4-J6)/G6</f>
        <v>#DIV/0!</v>
      </c>
    </row>
    <row r="8" spans="1:16">
      <c r="I8" s="25" t="s">
        <v>30</v>
      </c>
      <c r="J8" s="27" t="e">
        <f>(1-_xlfn.NORM.S.DIST(J7,TRUE))*2</f>
        <v>#DIV/0!</v>
      </c>
    </row>
    <row r="9" spans="1:16">
      <c r="C9" s="15" t="s">
        <v>19</v>
      </c>
      <c r="D9" s="14" t="s">
        <v>20</v>
      </c>
      <c r="E9" s="28">
        <f>D4-D7*G6</f>
        <v>0</v>
      </c>
      <c r="F9" s="9" t="s">
        <v>18</v>
      </c>
      <c r="G9" s="24">
        <f>D4+D7*G6</f>
        <v>0</v>
      </c>
      <c r="I9" s="26" t="s">
        <v>31</v>
      </c>
      <c r="J9" s="60" t="s">
        <v>32</v>
      </c>
      <c r="K9" s="61"/>
      <c r="L9" s="61"/>
      <c r="M9" s="61"/>
      <c r="N9" s="61"/>
      <c r="O9" s="61"/>
      <c r="P9" s="62"/>
    </row>
    <row r="10" spans="1:16">
      <c r="C10" s="15"/>
      <c r="J10" s="63"/>
      <c r="K10" s="64"/>
      <c r="L10" s="64"/>
      <c r="M10" s="64"/>
      <c r="N10" s="64"/>
      <c r="O10" s="64"/>
      <c r="P10" s="65"/>
    </row>
    <row r="11" spans="1:16">
      <c r="A11" s="2" t="s">
        <v>21</v>
      </c>
      <c r="B11" s="2" t="s">
        <v>22</v>
      </c>
      <c r="J11" s="66"/>
      <c r="K11" s="67"/>
      <c r="L11" s="67"/>
      <c r="M11" s="67"/>
      <c r="N11" s="67"/>
      <c r="O11" s="67"/>
      <c r="P11" s="68"/>
    </row>
    <row r="12" spans="1:16">
      <c r="A12" s="2">
        <v>1</v>
      </c>
      <c r="B12" s="18">
        <v>162</v>
      </c>
    </row>
    <row r="13" spans="1:16">
      <c r="A13" s="2">
        <v>2</v>
      </c>
      <c r="B13" s="18">
        <v>157</v>
      </c>
    </row>
    <row r="14" spans="1:16">
      <c r="A14" s="2">
        <v>3</v>
      </c>
      <c r="B14" s="18">
        <v>157</v>
      </c>
    </row>
    <row r="15" spans="1:16">
      <c r="A15" s="2">
        <v>4</v>
      </c>
      <c r="B15" s="18">
        <v>159</v>
      </c>
    </row>
    <row r="16" spans="1:16">
      <c r="A16" s="2">
        <v>5</v>
      </c>
      <c r="B16" s="18">
        <v>155</v>
      </c>
    </row>
    <row r="17" spans="1:2">
      <c r="A17" s="2">
        <v>6</v>
      </c>
      <c r="B17" s="18">
        <v>155</v>
      </c>
    </row>
    <row r="18" spans="1:2">
      <c r="A18" s="2">
        <v>7</v>
      </c>
      <c r="B18" s="18">
        <v>164</v>
      </c>
    </row>
    <row r="19" spans="1:2">
      <c r="A19" s="2">
        <v>8</v>
      </c>
      <c r="B19" s="18">
        <v>168</v>
      </c>
    </row>
    <row r="20" spans="1:2">
      <c r="A20" s="2">
        <v>9</v>
      </c>
      <c r="B20" s="18">
        <v>166.5</v>
      </c>
    </row>
    <row r="21" spans="1:2">
      <c r="A21" s="2">
        <v>10</v>
      </c>
      <c r="B21" s="18">
        <v>166.5</v>
      </c>
    </row>
    <row r="22" spans="1:2">
      <c r="A22" s="2">
        <v>11</v>
      </c>
      <c r="B22" s="18">
        <v>161.5</v>
      </c>
    </row>
    <row r="23" spans="1:2">
      <c r="A23" s="2">
        <v>12</v>
      </c>
      <c r="B23" s="18">
        <v>161</v>
      </c>
    </row>
    <row r="24" spans="1:2">
      <c r="A24" s="2">
        <v>13</v>
      </c>
      <c r="B24" s="18">
        <v>157</v>
      </c>
    </row>
    <row r="25" spans="1:2">
      <c r="A25" s="2">
        <v>14</v>
      </c>
      <c r="B25" s="18">
        <v>158.5</v>
      </c>
    </row>
    <row r="26" spans="1:2">
      <c r="A26" s="2">
        <v>15</v>
      </c>
      <c r="B26" s="18">
        <v>157.5</v>
      </c>
    </row>
    <row r="27" spans="1:2">
      <c r="A27" s="2">
        <v>16</v>
      </c>
      <c r="B27" s="18">
        <v>162.5</v>
      </c>
    </row>
    <row r="28" spans="1:2">
      <c r="A28" s="2">
        <v>17</v>
      </c>
      <c r="B28" s="18">
        <v>163.5</v>
      </c>
    </row>
    <row r="29" spans="1:2">
      <c r="A29" s="2">
        <v>18</v>
      </c>
      <c r="B29" s="18">
        <v>166.5</v>
      </c>
    </row>
    <row r="30" spans="1:2">
      <c r="A30" s="2">
        <v>19</v>
      </c>
      <c r="B30" s="18">
        <v>158.5</v>
      </c>
    </row>
    <row r="31" spans="1:2">
      <c r="A31" s="2">
        <v>20</v>
      </c>
      <c r="B31" s="18">
        <v>171.5</v>
      </c>
    </row>
    <row r="32" spans="1:2">
      <c r="A32" s="2">
        <v>21</v>
      </c>
      <c r="B32" s="18">
        <v>154</v>
      </c>
    </row>
    <row r="33" spans="1:2">
      <c r="A33" s="2">
        <v>22</v>
      </c>
      <c r="B33" s="18">
        <v>162.5</v>
      </c>
    </row>
    <row r="34" spans="1:2">
      <c r="A34" s="2">
        <v>23</v>
      </c>
      <c r="B34" s="18">
        <v>169</v>
      </c>
    </row>
    <row r="35" spans="1:2">
      <c r="A35" s="2">
        <v>24</v>
      </c>
      <c r="B35" s="18">
        <v>163.5</v>
      </c>
    </row>
    <row r="36" spans="1:2">
      <c r="A36" s="2">
        <v>25</v>
      </c>
      <c r="B36" s="18">
        <v>155</v>
      </c>
    </row>
    <row r="37" spans="1:2">
      <c r="A37" s="2">
        <v>26</v>
      </c>
      <c r="B37" s="18">
        <v>164</v>
      </c>
    </row>
    <row r="38" spans="1:2">
      <c r="A38" s="2">
        <v>27</v>
      </c>
      <c r="B38" s="18">
        <v>161</v>
      </c>
    </row>
    <row r="39" spans="1:2">
      <c r="A39" s="2">
        <v>28</v>
      </c>
      <c r="B39" s="18">
        <v>156</v>
      </c>
    </row>
    <row r="40" spans="1:2">
      <c r="A40" s="2">
        <v>29</v>
      </c>
      <c r="B40" s="18">
        <v>143.5</v>
      </c>
    </row>
    <row r="41" spans="1:2">
      <c r="A41" s="2">
        <v>30</v>
      </c>
      <c r="B41" s="18">
        <v>156</v>
      </c>
    </row>
    <row r="42" spans="1:2">
      <c r="A42" s="2">
        <v>31</v>
      </c>
      <c r="B42" s="18">
        <v>154.5</v>
      </c>
    </row>
    <row r="43" spans="1:2">
      <c r="A43" s="2">
        <v>32</v>
      </c>
      <c r="B43" s="18">
        <v>156</v>
      </c>
    </row>
    <row r="44" spans="1:2">
      <c r="A44" s="2">
        <v>33</v>
      </c>
      <c r="B44" s="18">
        <v>153.5</v>
      </c>
    </row>
    <row r="45" spans="1:2">
      <c r="A45" s="2">
        <v>34</v>
      </c>
      <c r="B45" s="18">
        <v>157.5</v>
      </c>
    </row>
    <row r="46" spans="1:2">
      <c r="A46" s="2">
        <v>35</v>
      </c>
      <c r="B46" s="18">
        <v>146</v>
      </c>
    </row>
    <row r="47" spans="1:2">
      <c r="A47" s="2">
        <v>36</v>
      </c>
      <c r="B47" s="18">
        <v>155</v>
      </c>
    </row>
    <row r="48" spans="1:2">
      <c r="A48" s="2">
        <v>37</v>
      </c>
      <c r="B48" s="18">
        <v>151.5</v>
      </c>
    </row>
    <row r="49" spans="1:2">
      <c r="A49" s="2">
        <v>38</v>
      </c>
      <c r="B49" s="18">
        <v>156.5</v>
      </c>
    </row>
    <row r="50" spans="1:2">
      <c r="A50" s="2">
        <v>39</v>
      </c>
      <c r="B50" s="18">
        <v>161.5</v>
      </c>
    </row>
    <row r="51" spans="1:2">
      <c r="A51" s="2">
        <v>40</v>
      </c>
      <c r="B51" s="18">
        <v>168</v>
      </c>
    </row>
    <row r="52" spans="1:2">
      <c r="A52" s="2">
        <v>41</v>
      </c>
      <c r="B52" s="18">
        <v>166.5</v>
      </c>
    </row>
    <row r="53" spans="1:2">
      <c r="A53" s="2">
        <v>42</v>
      </c>
      <c r="B53" s="18">
        <v>161.5</v>
      </c>
    </row>
    <row r="54" spans="1:2">
      <c r="A54" s="2">
        <v>43</v>
      </c>
      <c r="B54" s="18">
        <v>160.5</v>
      </c>
    </row>
    <row r="55" spans="1:2">
      <c r="A55" s="2">
        <v>44</v>
      </c>
      <c r="B55" s="18">
        <v>165</v>
      </c>
    </row>
    <row r="56" spans="1:2">
      <c r="A56" s="2">
        <v>45</v>
      </c>
      <c r="B56" s="18">
        <v>170.5</v>
      </c>
    </row>
    <row r="57" spans="1:2">
      <c r="A57" s="2">
        <v>46</v>
      </c>
      <c r="B57" s="18">
        <v>164.5</v>
      </c>
    </row>
    <row r="58" spans="1:2">
      <c r="A58" s="2">
        <v>47</v>
      </c>
      <c r="B58" s="18">
        <v>150.5</v>
      </c>
    </row>
    <row r="59" spans="1:2">
      <c r="A59" s="2">
        <v>48</v>
      </c>
      <c r="B59" s="18">
        <v>168.5</v>
      </c>
    </row>
    <row r="60" spans="1:2">
      <c r="A60" s="2">
        <v>49</v>
      </c>
      <c r="B60" s="18">
        <v>176</v>
      </c>
    </row>
    <row r="61" spans="1:2">
      <c r="A61" s="2">
        <v>50</v>
      </c>
      <c r="B61" s="18">
        <v>167.5</v>
      </c>
    </row>
    <row r="62" spans="1:2">
      <c r="A62" s="2">
        <v>51</v>
      </c>
      <c r="B62" s="18">
        <v>163.5</v>
      </c>
    </row>
    <row r="63" spans="1:2">
      <c r="A63" s="2">
        <v>52</v>
      </c>
      <c r="B63" s="18">
        <v>165.5</v>
      </c>
    </row>
    <row r="64" spans="1:2">
      <c r="A64" s="2">
        <v>53</v>
      </c>
      <c r="B64" s="18">
        <v>168</v>
      </c>
    </row>
    <row r="65" spans="1:2">
      <c r="A65" s="2">
        <v>54</v>
      </c>
      <c r="B65" s="18">
        <v>160</v>
      </c>
    </row>
    <row r="66" spans="1:2">
      <c r="A66" s="2">
        <v>55</v>
      </c>
      <c r="B66" s="18">
        <v>166</v>
      </c>
    </row>
    <row r="67" spans="1:2">
      <c r="A67" s="2">
        <v>56</v>
      </c>
      <c r="B67" s="18">
        <v>162</v>
      </c>
    </row>
    <row r="68" spans="1:2">
      <c r="A68" s="2">
        <v>57</v>
      </c>
      <c r="B68" s="18">
        <v>154.5</v>
      </c>
    </row>
    <row r="69" spans="1:2">
      <c r="A69" s="2">
        <v>58</v>
      </c>
      <c r="B69" s="18">
        <v>154.5</v>
      </c>
    </row>
    <row r="70" spans="1:2">
      <c r="A70" s="2">
        <v>59</v>
      </c>
      <c r="B70" s="18">
        <v>165.5</v>
      </c>
    </row>
    <row r="71" spans="1:2">
      <c r="A71" s="2">
        <v>60</v>
      </c>
      <c r="B71" s="18">
        <v>163.5</v>
      </c>
    </row>
    <row r="72" spans="1:2">
      <c r="A72" s="2">
        <v>61</v>
      </c>
      <c r="B72" s="18">
        <v>158</v>
      </c>
    </row>
    <row r="73" spans="1:2">
      <c r="A73" s="2">
        <v>62</v>
      </c>
      <c r="B73" s="18">
        <v>155</v>
      </c>
    </row>
    <row r="74" spans="1:2">
      <c r="A74" s="2">
        <v>63</v>
      </c>
      <c r="B74" s="18">
        <v>163.5</v>
      </c>
    </row>
    <row r="75" spans="1:2">
      <c r="A75" s="2">
        <v>64</v>
      </c>
      <c r="B75" s="18">
        <v>171</v>
      </c>
    </row>
    <row r="76" spans="1:2">
      <c r="A76" s="2">
        <v>65</v>
      </c>
      <c r="B76" s="18">
        <v>166</v>
      </c>
    </row>
    <row r="77" spans="1:2">
      <c r="A77" s="2">
        <v>66</v>
      </c>
      <c r="B77" s="18">
        <v>149</v>
      </c>
    </row>
    <row r="78" spans="1:2">
      <c r="A78" s="2">
        <v>67</v>
      </c>
      <c r="B78" s="18">
        <v>156</v>
      </c>
    </row>
    <row r="79" spans="1:2">
      <c r="A79" s="2">
        <v>68</v>
      </c>
      <c r="B79" s="18">
        <v>179</v>
      </c>
    </row>
    <row r="80" spans="1:2">
      <c r="A80" s="2">
        <v>69</v>
      </c>
      <c r="B80" s="18">
        <v>155.5</v>
      </c>
    </row>
    <row r="81" spans="1:2">
      <c r="A81" s="2">
        <v>70</v>
      </c>
      <c r="B81" s="18">
        <v>159.5</v>
      </c>
    </row>
    <row r="82" spans="1:2">
      <c r="A82" s="2">
        <v>71</v>
      </c>
      <c r="B82" s="18">
        <v>158</v>
      </c>
    </row>
    <row r="83" spans="1:2">
      <c r="A83" s="2">
        <v>72</v>
      </c>
      <c r="B83" s="18">
        <v>151.5</v>
      </c>
    </row>
    <row r="84" spans="1:2">
      <c r="A84" s="2">
        <v>73</v>
      </c>
      <c r="B84" s="18">
        <v>170</v>
      </c>
    </row>
    <row r="85" spans="1:2">
      <c r="A85" s="2">
        <v>74</v>
      </c>
      <c r="B85" s="18">
        <v>160.5</v>
      </c>
    </row>
    <row r="86" spans="1:2">
      <c r="A86" s="2">
        <v>75</v>
      </c>
      <c r="B86" s="18">
        <v>154.5</v>
      </c>
    </row>
    <row r="87" spans="1:2">
      <c r="A87" s="2">
        <v>76</v>
      </c>
      <c r="B87" s="18">
        <v>159.5</v>
      </c>
    </row>
    <row r="88" spans="1:2">
      <c r="A88" s="2">
        <v>77</v>
      </c>
      <c r="B88" s="18">
        <v>177.5</v>
      </c>
    </row>
    <row r="89" spans="1:2">
      <c r="A89" s="2">
        <v>78</v>
      </c>
      <c r="B89" s="18">
        <v>161</v>
      </c>
    </row>
    <row r="90" spans="1:2">
      <c r="A90" s="2">
        <v>79</v>
      </c>
      <c r="B90" s="18">
        <v>149.5</v>
      </c>
    </row>
    <row r="91" spans="1:2">
      <c r="A91" s="2">
        <v>80</v>
      </c>
      <c r="B91" s="18">
        <v>164</v>
      </c>
    </row>
    <row r="92" spans="1:2">
      <c r="A92" s="2">
        <v>81</v>
      </c>
      <c r="B92" s="18">
        <v>149.5</v>
      </c>
    </row>
    <row r="93" spans="1:2">
      <c r="A93" s="2">
        <v>82</v>
      </c>
      <c r="B93" s="18">
        <v>157</v>
      </c>
    </row>
    <row r="94" spans="1:2">
      <c r="A94" s="2">
        <v>83</v>
      </c>
      <c r="B94" s="18">
        <v>153</v>
      </c>
    </row>
    <row r="95" spans="1:2">
      <c r="A95" s="2">
        <v>84</v>
      </c>
      <c r="B95" s="18">
        <v>146</v>
      </c>
    </row>
    <row r="96" spans="1:2">
      <c r="A96" s="2">
        <v>85</v>
      </c>
      <c r="B96" s="18">
        <v>165.5</v>
      </c>
    </row>
    <row r="97" spans="1:2">
      <c r="A97" s="2">
        <v>86</v>
      </c>
      <c r="B97" s="18">
        <v>162</v>
      </c>
    </row>
    <row r="98" spans="1:2">
      <c r="A98" s="2">
        <v>87</v>
      </c>
      <c r="B98" s="18">
        <v>171.5</v>
      </c>
    </row>
    <row r="99" spans="1:2">
      <c r="A99" s="2">
        <v>88</v>
      </c>
      <c r="B99" s="18">
        <v>154</v>
      </c>
    </row>
    <row r="100" spans="1:2">
      <c r="A100" s="2">
        <v>89</v>
      </c>
      <c r="B100" s="18">
        <v>153.5</v>
      </c>
    </row>
    <row r="101" spans="1:2">
      <c r="A101" s="2">
        <v>90</v>
      </c>
      <c r="B101" s="18">
        <v>152</v>
      </c>
    </row>
    <row r="102" spans="1:2">
      <c r="A102" s="2">
        <v>91</v>
      </c>
      <c r="B102" s="18">
        <v>166</v>
      </c>
    </row>
    <row r="103" spans="1:2">
      <c r="A103" s="2">
        <v>92</v>
      </c>
      <c r="B103" s="18">
        <v>158</v>
      </c>
    </row>
    <row r="104" spans="1:2">
      <c r="A104" s="2">
        <v>93</v>
      </c>
      <c r="B104" s="18">
        <v>150.5</v>
      </c>
    </row>
    <row r="105" spans="1:2">
      <c r="A105" s="2">
        <v>94</v>
      </c>
      <c r="B105" s="18">
        <v>161</v>
      </c>
    </row>
    <row r="106" spans="1:2">
      <c r="A106" s="2">
        <v>95</v>
      </c>
      <c r="B106" s="18">
        <v>150.5</v>
      </c>
    </row>
    <row r="107" spans="1:2">
      <c r="A107" s="2">
        <v>96</v>
      </c>
      <c r="B107" s="18">
        <v>148</v>
      </c>
    </row>
    <row r="108" spans="1:2">
      <c r="A108" s="2">
        <v>97</v>
      </c>
      <c r="B108" s="18">
        <v>161</v>
      </c>
    </row>
    <row r="109" spans="1:2">
      <c r="A109" s="2">
        <v>98</v>
      </c>
      <c r="B109" s="18">
        <v>165.5</v>
      </c>
    </row>
    <row r="110" spans="1:2">
      <c r="A110" s="2">
        <v>99</v>
      </c>
      <c r="B110" s="18">
        <v>164</v>
      </c>
    </row>
    <row r="111" spans="1:2">
      <c r="A111" s="2">
        <v>100</v>
      </c>
      <c r="B111" s="18">
        <v>151</v>
      </c>
    </row>
    <row r="112" spans="1:2">
      <c r="B112" s="18"/>
    </row>
  </sheetData>
  <mergeCells count="1">
    <mergeCell ref="J9:P11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"/>
  <sheetViews>
    <sheetView workbookViewId="0">
      <pane ySplit="11" topLeftCell="A12" activePane="bottomLeft" state="frozen"/>
      <selection pane="bottomLeft"/>
    </sheetView>
  </sheetViews>
  <sheetFormatPr defaultRowHeight="18.75"/>
  <cols>
    <col min="1" max="1" width="8.875" customWidth="1"/>
    <col min="2" max="2" width="12.125" customWidth="1"/>
    <col min="3" max="10" width="11.875" customWidth="1"/>
  </cols>
  <sheetData>
    <row r="1" spans="1:16">
      <c r="A1" s="6" t="s">
        <v>196</v>
      </c>
    </row>
    <row r="2" spans="1:16">
      <c r="A2" s="2"/>
      <c r="B2" s="2"/>
      <c r="C2" s="9" t="s">
        <v>11</v>
      </c>
      <c r="D2" s="8">
        <f>COUNT(D14:D23)</f>
        <v>10</v>
      </c>
    </row>
    <row r="3" spans="1:16">
      <c r="A3" s="2"/>
      <c r="B3" s="2"/>
      <c r="F3" s="20" t="s">
        <v>27</v>
      </c>
    </row>
    <row r="4" spans="1:16">
      <c r="A4" s="2"/>
      <c r="B4" s="2" t="s">
        <v>23</v>
      </c>
      <c r="C4" s="9" t="s">
        <v>24</v>
      </c>
      <c r="D4" s="19"/>
      <c r="F4" s="21" t="s">
        <v>26</v>
      </c>
      <c r="G4" s="22"/>
      <c r="H4" s="21" t="s">
        <v>25</v>
      </c>
      <c r="I4" s="23">
        <f>G4^0.5</f>
        <v>0</v>
      </c>
    </row>
    <row r="5" spans="1:16">
      <c r="A5" s="2"/>
      <c r="B5" s="2"/>
    </row>
    <row r="6" spans="1:16">
      <c r="A6" s="2"/>
      <c r="B6" s="2"/>
      <c r="C6" s="9" t="s">
        <v>15</v>
      </c>
      <c r="D6" s="12">
        <v>0.95</v>
      </c>
      <c r="F6" s="9" t="s">
        <v>17</v>
      </c>
      <c r="G6" s="13">
        <f>(I4/D2^0.5)</f>
        <v>0</v>
      </c>
      <c r="I6" s="7" t="s">
        <v>28</v>
      </c>
      <c r="J6" s="24">
        <v>0</v>
      </c>
    </row>
    <row r="7" spans="1:16" ht="20.25">
      <c r="A7" s="2"/>
      <c r="B7" s="2"/>
      <c r="C7" s="7" t="s">
        <v>16</v>
      </c>
      <c r="D7" s="13">
        <f>_xlfn.T.INV.2T(0.05,9)</f>
        <v>2.2621571627982053</v>
      </c>
      <c r="E7" t="s">
        <v>112</v>
      </c>
      <c r="I7" s="25" t="s">
        <v>110</v>
      </c>
      <c r="J7" s="13" t="e">
        <f>(D4-J6)/G6</f>
        <v>#DIV/0!</v>
      </c>
    </row>
    <row r="8" spans="1:16">
      <c r="A8" s="2"/>
      <c r="B8" s="2"/>
      <c r="I8" s="25" t="s">
        <v>30</v>
      </c>
      <c r="J8" s="27" t="e">
        <f>_xlfn.T.DIST.2T(ABS(J7),D2-1)</f>
        <v>#DIV/0!</v>
      </c>
    </row>
    <row r="9" spans="1:16">
      <c r="A9" s="2"/>
      <c r="B9" s="2"/>
      <c r="C9" s="15" t="s">
        <v>19</v>
      </c>
      <c r="D9" s="14" t="s">
        <v>20</v>
      </c>
      <c r="E9" s="28">
        <f>D4-D7*G6</f>
        <v>0</v>
      </c>
      <c r="F9" s="9" t="s">
        <v>18</v>
      </c>
      <c r="G9" s="24">
        <f>D4+D7*G6</f>
        <v>0</v>
      </c>
      <c r="I9" s="26" t="s">
        <v>31</v>
      </c>
      <c r="J9" s="60" t="s">
        <v>111</v>
      </c>
      <c r="K9" s="61"/>
      <c r="L9" s="61"/>
      <c r="M9" s="61"/>
      <c r="N9" s="61"/>
      <c r="O9" s="61"/>
      <c r="P9" s="62"/>
    </row>
    <row r="10" spans="1:16">
      <c r="J10" s="63"/>
      <c r="K10" s="64"/>
      <c r="L10" s="64"/>
      <c r="M10" s="64"/>
      <c r="N10" s="64"/>
      <c r="O10" s="64"/>
      <c r="P10" s="65"/>
    </row>
    <row r="11" spans="1:16">
      <c r="J11" s="66"/>
      <c r="K11" s="67"/>
      <c r="L11" s="67"/>
      <c r="M11" s="67"/>
      <c r="N11" s="67"/>
      <c r="O11" s="67"/>
      <c r="P11" s="68"/>
    </row>
    <row r="12" spans="1:16">
      <c r="A12" s="39"/>
      <c r="B12" s="38"/>
      <c r="C12" s="38" t="s">
        <v>108</v>
      </c>
      <c r="D12" s="38"/>
    </row>
    <row r="13" spans="1:16">
      <c r="A13" s="37" t="s">
        <v>9</v>
      </c>
      <c r="B13" s="4" t="s">
        <v>105</v>
      </c>
      <c r="C13" s="4" t="s">
        <v>106</v>
      </c>
      <c r="D13" s="42" t="s">
        <v>107</v>
      </c>
    </row>
    <row r="14" spans="1:16">
      <c r="A14" s="2">
        <v>1</v>
      </c>
      <c r="B14" s="35">
        <v>60.2</v>
      </c>
      <c r="C14" s="35">
        <v>54.6</v>
      </c>
      <c r="D14" s="43">
        <f>C14-B14</f>
        <v>-5.6000000000000014</v>
      </c>
    </row>
    <row r="15" spans="1:16">
      <c r="A15" s="2">
        <v>2</v>
      </c>
      <c r="B15" s="35">
        <v>43.8</v>
      </c>
      <c r="C15" s="35">
        <v>36.299999999999997</v>
      </c>
      <c r="D15" s="43">
        <f t="shared" ref="D15:D23" si="0">C15-B15</f>
        <v>-7.5</v>
      </c>
    </row>
    <row r="16" spans="1:16">
      <c r="A16" s="2">
        <v>3</v>
      </c>
      <c r="B16" s="35">
        <v>47.1</v>
      </c>
      <c r="C16" s="35">
        <v>45.9</v>
      </c>
      <c r="D16" s="43">
        <f t="shared" si="0"/>
        <v>-1.2000000000000028</v>
      </c>
    </row>
    <row r="17" spans="1:4">
      <c r="A17" s="2">
        <v>4</v>
      </c>
      <c r="B17" s="35">
        <v>62.3</v>
      </c>
      <c r="C17" s="35">
        <v>56.9</v>
      </c>
      <c r="D17" s="43">
        <f t="shared" si="0"/>
        <v>-5.3999999999999986</v>
      </c>
    </row>
    <row r="18" spans="1:4">
      <c r="A18" s="2">
        <v>5</v>
      </c>
      <c r="B18" s="35">
        <v>57.4</v>
      </c>
      <c r="C18" s="35">
        <v>51.6</v>
      </c>
      <c r="D18" s="43">
        <f t="shared" si="0"/>
        <v>-5.7999999999999972</v>
      </c>
    </row>
    <row r="19" spans="1:4">
      <c r="A19" s="2">
        <v>6</v>
      </c>
      <c r="B19" s="35">
        <v>59.8</v>
      </c>
      <c r="C19" s="35">
        <v>55.5</v>
      </c>
      <c r="D19" s="43">
        <f t="shared" si="0"/>
        <v>-4.2999999999999972</v>
      </c>
    </row>
    <row r="20" spans="1:4">
      <c r="A20" s="2">
        <v>7</v>
      </c>
      <c r="B20" s="35">
        <v>63.5</v>
      </c>
      <c r="C20" s="35">
        <v>65.3</v>
      </c>
      <c r="D20" s="43">
        <f t="shared" si="0"/>
        <v>1.7999999999999972</v>
      </c>
    </row>
    <row r="21" spans="1:4">
      <c r="A21" s="2">
        <v>8</v>
      </c>
      <c r="B21" s="35">
        <v>57.9</v>
      </c>
      <c r="C21" s="35">
        <v>51.3</v>
      </c>
      <c r="D21" s="43">
        <f t="shared" si="0"/>
        <v>-6.6000000000000014</v>
      </c>
    </row>
    <row r="22" spans="1:4">
      <c r="A22" s="2">
        <v>9</v>
      </c>
      <c r="B22" s="35">
        <v>66.2</v>
      </c>
      <c r="C22" s="35">
        <v>62.7</v>
      </c>
      <c r="D22" s="43">
        <f t="shared" si="0"/>
        <v>-3.5</v>
      </c>
    </row>
    <row r="23" spans="1:4">
      <c r="A23" s="2">
        <v>10</v>
      </c>
      <c r="B23" s="35">
        <v>54.5</v>
      </c>
      <c r="C23" s="35">
        <v>55</v>
      </c>
      <c r="D23" s="43">
        <f t="shared" si="0"/>
        <v>0.5</v>
      </c>
    </row>
    <row r="24" spans="1:4">
      <c r="A24" s="36" t="s">
        <v>109</v>
      </c>
      <c r="B24" s="40"/>
      <c r="C24" s="40"/>
      <c r="D24" s="40"/>
    </row>
    <row r="25" spans="1:4">
      <c r="A25" s="37" t="s">
        <v>25</v>
      </c>
      <c r="B25" s="41"/>
      <c r="C25" s="41"/>
      <c r="D25" s="41"/>
    </row>
  </sheetData>
  <mergeCells count="1">
    <mergeCell ref="J9:P11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6"/>
  <sheetViews>
    <sheetView workbookViewId="0">
      <pane ySplit="16" topLeftCell="A17" activePane="bottomLeft" state="frozen"/>
      <selection pane="bottomLeft" activeCell="A5" sqref="A5"/>
    </sheetView>
  </sheetViews>
  <sheetFormatPr defaultRowHeight="18.75"/>
  <cols>
    <col min="1" max="3" width="8.75" customWidth="1"/>
  </cols>
  <sheetData>
    <row r="1" spans="1:19">
      <c r="A1" s="6" t="s">
        <v>197</v>
      </c>
    </row>
    <row r="2" spans="1:19">
      <c r="B2" t="s">
        <v>127</v>
      </c>
      <c r="D2" s="49" t="s">
        <v>122</v>
      </c>
      <c r="E2" s="49"/>
      <c r="F2" s="49"/>
    </row>
    <row r="3" spans="1:19">
      <c r="B3" s="48"/>
      <c r="C3" s="48"/>
      <c r="D3" s="4">
        <v>1</v>
      </c>
      <c r="E3" s="4">
        <v>2</v>
      </c>
      <c r="F3" s="4" t="s">
        <v>128</v>
      </c>
    </row>
    <row r="4" spans="1:19">
      <c r="B4" s="69" t="s">
        <v>124</v>
      </c>
      <c r="C4" s="4" t="s">
        <v>125</v>
      </c>
      <c r="D4" s="58"/>
      <c r="E4" s="58"/>
      <c r="F4" s="58"/>
    </row>
    <row r="5" spans="1:19">
      <c r="B5" s="70"/>
      <c r="C5" s="4" t="s">
        <v>126</v>
      </c>
      <c r="D5" s="58"/>
      <c r="E5" s="58"/>
      <c r="F5" s="58"/>
    </row>
    <row r="6" spans="1:19">
      <c r="B6" s="71"/>
      <c r="C6" s="4" t="s">
        <v>128</v>
      </c>
      <c r="D6" s="58"/>
      <c r="E6" s="58"/>
      <c r="F6" s="58"/>
    </row>
    <row r="8" spans="1:19">
      <c r="H8" s="29" t="s">
        <v>130</v>
      </c>
      <c r="I8" s="52" t="e">
        <f>SUM(Q11:R12)</f>
        <v>#DIV/0!</v>
      </c>
      <c r="O8" t="s">
        <v>193</v>
      </c>
    </row>
    <row r="9" spans="1:19">
      <c r="B9" t="s">
        <v>129</v>
      </c>
      <c r="D9" s="49" t="s">
        <v>122</v>
      </c>
      <c r="E9" s="49"/>
      <c r="F9" s="49"/>
      <c r="H9" s="29" t="s">
        <v>131</v>
      </c>
      <c r="I9">
        <v>1</v>
      </c>
      <c r="Q9" s="49" t="s">
        <v>122</v>
      </c>
      <c r="R9" s="49"/>
      <c r="S9" s="49"/>
    </row>
    <row r="10" spans="1:19">
      <c r="B10" s="48"/>
      <c r="C10" s="48"/>
      <c r="D10" s="4">
        <v>1</v>
      </c>
      <c r="E10" s="4">
        <v>2</v>
      </c>
      <c r="F10" s="4" t="s">
        <v>128</v>
      </c>
      <c r="H10" s="29" t="s">
        <v>132</v>
      </c>
      <c r="I10" s="52" t="e">
        <f>_xlfn.CHISQ.DIST.RT(I8,I9)</f>
        <v>#DIV/0!</v>
      </c>
      <c r="O10" s="48"/>
      <c r="P10" s="48"/>
      <c r="Q10" s="4">
        <v>1</v>
      </c>
      <c r="R10" s="4">
        <v>2</v>
      </c>
      <c r="S10" s="4" t="s">
        <v>128</v>
      </c>
    </row>
    <row r="11" spans="1:19">
      <c r="B11" s="69" t="s">
        <v>124</v>
      </c>
      <c r="C11" s="4" t="s">
        <v>125</v>
      </c>
      <c r="D11" s="47" t="e">
        <f>$F$13*($F11/$F$13)*(D$13/$F$13)</f>
        <v>#DIV/0!</v>
      </c>
      <c r="E11" s="47" t="e">
        <f t="shared" ref="E11:E12" si="0">$F$13*($F11/$F$13)*(E$13/$F$13)</f>
        <v>#DIV/0!</v>
      </c>
      <c r="F11" s="47">
        <f>F4</f>
        <v>0</v>
      </c>
      <c r="H11" s="29" t="s">
        <v>31</v>
      </c>
      <c r="I11" s="60" t="s">
        <v>133</v>
      </c>
      <c r="J11" s="61"/>
      <c r="K11" s="61"/>
      <c r="L11" s="61"/>
      <c r="M11" s="62"/>
      <c r="O11" s="69" t="s">
        <v>124</v>
      </c>
      <c r="P11" s="4" t="s">
        <v>125</v>
      </c>
      <c r="Q11" s="51" t="e">
        <f>(D4-D11)^2/D11</f>
        <v>#DIV/0!</v>
      </c>
      <c r="R11" s="51" t="e">
        <f t="shared" ref="R11:R12" si="1">(E4-E11)^2/E11</f>
        <v>#DIV/0!</v>
      </c>
      <c r="S11" s="50"/>
    </row>
    <row r="12" spans="1:19">
      <c r="B12" s="70"/>
      <c r="C12" s="4" t="s">
        <v>126</v>
      </c>
      <c r="D12" s="47" t="e">
        <f t="shared" ref="D12" si="2">$F$13*($F12/$F$13)*(D$13/$F$13)</f>
        <v>#DIV/0!</v>
      </c>
      <c r="E12" s="47" t="e">
        <f t="shared" si="0"/>
        <v>#DIV/0!</v>
      </c>
      <c r="F12" s="47">
        <f>F5</f>
        <v>0</v>
      </c>
      <c r="I12" s="63"/>
      <c r="J12" s="64"/>
      <c r="K12" s="64"/>
      <c r="L12" s="64"/>
      <c r="M12" s="65"/>
      <c r="O12" s="70"/>
      <c r="P12" s="4" t="s">
        <v>126</v>
      </c>
      <c r="Q12" s="51" t="e">
        <f t="shared" ref="Q12" si="3">(D5-D12)^2/D12</f>
        <v>#DIV/0!</v>
      </c>
      <c r="R12" s="51" t="e">
        <f t="shared" si="1"/>
        <v>#DIV/0!</v>
      </c>
      <c r="S12" s="50"/>
    </row>
    <row r="13" spans="1:19">
      <c r="B13" s="71"/>
      <c r="C13" s="4" t="s">
        <v>128</v>
      </c>
      <c r="D13" s="47">
        <f>D6</f>
        <v>0</v>
      </c>
      <c r="E13" s="47">
        <f>E6</f>
        <v>0</v>
      </c>
      <c r="F13" s="47">
        <f>F6</f>
        <v>0</v>
      </c>
      <c r="I13" s="66"/>
      <c r="J13" s="67"/>
      <c r="K13" s="67"/>
      <c r="L13" s="67"/>
      <c r="M13" s="68"/>
      <c r="O13" s="71"/>
      <c r="P13" s="4" t="s">
        <v>128</v>
      </c>
      <c r="Q13" s="50"/>
      <c r="R13" s="50"/>
      <c r="S13" s="50"/>
    </row>
    <row r="16" spans="1:19">
      <c r="A16" s="46" t="s">
        <v>9</v>
      </c>
      <c r="B16" s="46" t="s">
        <v>122</v>
      </c>
      <c r="C16" s="47" t="s">
        <v>123</v>
      </c>
      <c r="D16" s="47"/>
    </row>
    <row r="17" spans="1:3">
      <c r="A17" s="2">
        <v>101</v>
      </c>
      <c r="B17" s="2">
        <v>1</v>
      </c>
      <c r="C17" s="2">
        <v>2</v>
      </c>
    </row>
    <row r="18" spans="1:3">
      <c r="A18" s="2">
        <v>102</v>
      </c>
      <c r="B18" s="2">
        <v>1</v>
      </c>
      <c r="C18" s="2">
        <v>2</v>
      </c>
    </row>
    <row r="19" spans="1:3">
      <c r="A19" s="2">
        <v>103</v>
      </c>
      <c r="B19" s="2">
        <v>1</v>
      </c>
      <c r="C19" s="2">
        <v>1</v>
      </c>
    </row>
    <row r="20" spans="1:3">
      <c r="A20" s="2">
        <v>104</v>
      </c>
      <c r="B20" s="2">
        <v>1</v>
      </c>
      <c r="C20" s="2">
        <v>1</v>
      </c>
    </row>
    <row r="21" spans="1:3">
      <c r="A21" s="2">
        <v>105</v>
      </c>
      <c r="B21" s="2">
        <v>1</v>
      </c>
      <c r="C21" s="2">
        <v>1</v>
      </c>
    </row>
    <row r="22" spans="1:3">
      <c r="A22" s="2">
        <v>106</v>
      </c>
      <c r="B22" s="2">
        <v>1</v>
      </c>
      <c r="C22" s="2">
        <v>1</v>
      </c>
    </row>
    <row r="23" spans="1:3">
      <c r="A23" s="2">
        <v>107</v>
      </c>
      <c r="B23" s="2">
        <v>1</v>
      </c>
      <c r="C23" s="2">
        <v>1</v>
      </c>
    </row>
    <row r="24" spans="1:3">
      <c r="A24" s="2">
        <v>108</v>
      </c>
      <c r="B24" s="2">
        <v>1</v>
      </c>
      <c r="C24" s="2">
        <v>1</v>
      </c>
    </row>
    <row r="25" spans="1:3">
      <c r="A25" s="2">
        <v>109</v>
      </c>
      <c r="B25" s="2">
        <v>1</v>
      </c>
      <c r="C25" s="2">
        <v>1</v>
      </c>
    </row>
    <row r="26" spans="1:3">
      <c r="A26" s="2">
        <v>110</v>
      </c>
      <c r="B26" s="2">
        <v>1</v>
      </c>
      <c r="C26" s="2">
        <v>2</v>
      </c>
    </row>
    <row r="27" spans="1:3">
      <c r="A27" s="2">
        <v>111</v>
      </c>
      <c r="B27" s="2">
        <v>1</v>
      </c>
      <c r="C27" s="2">
        <v>2</v>
      </c>
    </row>
    <row r="28" spans="1:3">
      <c r="A28" s="2">
        <v>112</v>
      </c>
      <c r="B28" s="2">
        <v>1</v>
      </c>
      <c r="C28" s="2">
        <v>1</v>
      </c>
    </row>
    <row r="29" spans="1:3">
      <c r="A29" s="2">
        <v>113</v>
      </c>
      <c r="B29" s="2">
        <v>1</v>
      </c>
      <c r="C29" s="2">
        <v>1</v>
      </c>
    </row>
    <row r="30" spans="1:3">
      <c r="A30" s="2">
        <v>114</v>
      </c>
      <c r="B30" s="2">
        <v>1</v>
      </c>
      <c r="C30" s="2">
        <v>1</v>
      </c>
    </row>
    <row r="31" spans="1:3">
      <c r="A31" s="2">
        <v>115</v>
      </c>
      <c r="B31" s="2">
        <v>1</v>
      </c>
      <c r="C31" s="2">
        <v>1</v>
      </c>
    </row>
    <row r="32" spans="1:3">
      <c r="A32" s="2">
        <v>116</v>
      </c>
      <c r="B32" s="2">
        <v>1</v>
      </c>
      <c r="C32" s="2">
        <v>1</v>
      </c>
    </row>
    <row r="33" spans="1:3">
      <c r="A33" s="2">
        <v>117</v>
      </c>
      <c r="B33" s="2">
        <v>1</v>
      </c>
      <c r="C33" s="2">
        <v>2</v>
      </c>
    </row>
    <row r="34" spans="1:3">
      <c r="A34" s="2">
        <v>118</v>
      </c>
      <c r="B34" s="2">
        <v>1</v>
      </c>
      <c r="C34" s="2">
        <v>1</v>
      </c>
    </row>
    <row r="35" spans="1:3">
      <c r="A35" s="2">
        <v>119</v>
      </c>
      <c r="B35" s="2">
        <v>1</v>
      </c>
      <c r="C35" s="2">
        <v>1</v>
      </c>
    </row>
    <row r="36" spans="1:3">
      <c r="A36" s="2">
        <v>120</v>
      </c>
      <c r="B36" s="2">
        <v>1</v>
      </c>
      <c r="C36" s="2">
        <v>2</v>
      </c>
    </row>
    <row r="37" spans="1:3">
      <c r="A37" s="2">
        <v>121</v>
      </c>
      <c r="B37" s="2">
        <v>1</v>
      </c>
      <c r="C37" s="2">
        <v>1</v>
      </c>
    </row>
    <row r="38" spans="1:3">
      <c r="A38" s="2">
        <v>122</v>
      </c>
      <c r="B38" s="2">
        <v>1</v>
      </c>
      <c r="C38" s="2">
        <v>1</v>
      </c>
    </row>
    <row r="39" spans="1:3">
      <c r="A39" s="2">
        <v>123</v>
      </c>
      <c r="B39" s="2">
        <v>1</v>
      </c>
      <c r="C39" s="2">
        <v>1</v>
      </c>
    </row>
    <row r="40" spans="1:3">
      <c r="A40" s="2">
        <v>124</v>
      </c>
      <c r="B40" s="2">
        <v>1</v>
      </c>
      <c r="C40" s="2">
        <v>1</v>
      </c>
    </row>
    <row r="41" spans="1:3">
      <c r="A41" s="2">
        <v>125</v>
      </c>
      <c r="B41" s="2">
        <v>1</v>
      </c>
      <c r="C41" s="2">
        <v>1</v>
      </c>
    </row>
    <row r="42" spans="1:3">
      <c r="A42" s="2">
        <v>126</v>
      </c>
      <c r="B42" s="2">
        <v>1</v>
      </c>
      <c r="C42" s="2">
        <v>1</v>
      </c>
    </row>
    <row r="43" spans="1:3">
      <c r="A43" s="2">
        <v>127</v>
      </c>
      <c r="B43" s="2">
        <v>1</v>
      </c>
      <c r="C43" s="2">
        <v>2</v>
      </c>
    </row>
    <row r="44" spans="1:3">
      <c r="A44" s="2">
        <v>128</v>
      </c>
      <c r="B44" s="2">
        <v>1</v>
      </c>
      <c r="C44" s="2">
        <v>1</v>
      </c>
    </row>
    <row r="45" spans="1:3">
      <c r="A45" s="2">
        <v>129</v>
      </c>
      <c r="B45" s="2">
        <v>1</v>
      </c>
      <c r="C45" s="2">
        <v>1</v>
      </c>
    </row>
    <row r="46" spans="1:3">
      <c r="A46" s="2">
        <v>130</v>
      </c>
      <c r="B46" s="2">
        <v>1</v>
      </c>
      <c r="C46" s="2">
        <v>1</v>
      </c>
    </row>
    <row r="47" spans="1:3">
      <c r="A47" s="2">
        <v>131</v>
      </c>
      <c r="B47" s="2">
        <v>1</v>
      </c>
      <c r="C47" s="2">
        <v>1</v>
      </c>
    </row>
    <row r="48" spans="1:3">
      <c r="A48" s="2">
        <v>132</v>
      </c>
      <c r="B48" s="2">
        <v>1</v>
      </c>
      <c r="C48" s="2">
        <v>1</v>
      </c>
    </row>
    <row r="49" spans="1:3">
      <c r="A49" s="2">
        <v>133</v>
      </c>
      <c r="B49" s="2">
        <v>1</v>
      </c>
      <c r="C49" s="2">
        <v>1</v>
      </c>
    </row>
    <row r="50" spans="1:3">
      <c r="A50" s="2">
        <v>134</v>
      </c>
      <c r="B50" s="2">
        <v>1</v>
      </c>
      <c r="C50" s="2">
        <v>2</v>
      </c>
    </row>
    <row r="51" spans="1:3">
      <c r="A51" s="2">
        <v>135</v>
      </c>
      <c r="B51" s="2">
        <v>1</v>
      </c>
      <c r="C51" s="2">
        <v>1</v>
      </c>
    </row>
    <row r="52" spans="1:3">
      <c r="A52" s="2">
        <v>136</v>
      </c>
      <c r="B52" s="2">
        <v>1</v>
      </c>
      <c r="C52" s="2">
        <v>2</v>
      </c>
    </row>
    <row r="53" spans="1:3">
      <c r="A53" s="2">
        <v>137</v>
      </c>
      <c r="B53" s="2">
        <v>1</v>
      </c>
      <c r="C53" s="2">
        <v>2</v>
      </c>
    </row>
    <row r="54" spans="1:3">
      <c r="A54" s="2">
        <v>138</v>
      </c>
      <c r="B54" s="2">
        <v>1</v>
      </c>
      <c r="C54" s="2">
        <v>1</v>
      </c>
    </row>
    <row r="55" spans="1:3">
      <c r="A55" s="2">
        <v>139</v>
      </c>
      <c r="B55" s="2">
        <v>1</v>
      </c>
      <c r="C55" s="2">
        <v>1</v>
      </c>
    </row>
    <row r="56" spans="1:3">
      <c r="A56" s="2">
        <v>140</v>
      </c>
      <c r="B56" s="2">
        <v>1</v>
      </c>
      <c r="C56" s="2">
        <v>1</v>
      </c>
    </row>
    <row r="57" spans="1:3">
      <c r="A57" s="2">
        <v>201</v>
      </c>
      <c r="B57" s="2">
        <v>2</v>
      </c>
      <c r="C57" s="2">
        <v>2</v>
      </c>
    </row>
    <row r="58" spans="1:3">
      <c r="A58" s="2">
        <v>202</v>
      </c>
      <c r="B58" s="2">
        <v>2</v>
      </c>
      <c r="C58" s="2">
        <v>2</v>
      </c>
    </row>
    <row r="59" spans="1:3">
      <c r="A59" s="2">
        <v>203</v>
      </c>
      <c r="B59" s="2">
        <v>2</v>
      </c>
      <c r="C59" s="2">
        <v>1</v>
      </c>
    </row>
    <row r="60" spans="1:3">
      <c r="A60" s="2">
        <v>204</v>
      </c>
      <c r="B60" s="2">
        <v>2</v>
      </c>
      <c r="C60" s="2">
        <v>1</v>
      </c>
    </row>
    <row r="61" spans="1:3">
      <c r="A61" s="2">
        <v>205</v>
      </c>
      <c r="B61" s="2">
        <v>2</v>
      </c>
      <c r="C61" s="2">
        <v>1</v>
      </c>
    </row>
    <row r="62" spans="1:3">
      <c r="A62" s="2">
        <v>206</v>
      </c>
      <c r="B62" s="2">
        <v>2</v>
      </c>
      <c r="C62" s="2">
        <v>2</v>
      </c>
    </row>
    <row r="63" spans="1:3">
      <c r="A63" s="2">
        <v>207</v>
      </c>
      <c r="B63" s="2">
        <v>2</v>
      </c>
      <c r="C63" s="2">
        <v>2</v>
      </c>
    </row>
    <row r="64" spans="1:3">
      <c r="A64" s="2">
        <v>208</v>
      </c>
      <c r="B64" s="2">
        <v>2</v>
      </c>
      <c r="C64" s="2">
        <v>2</v>
      </c>
    </row>
    <row r="65" spans="1:3">
      <c r="A65" s="2">
        <v>209</v>
      </c>
      <c r="B65" s="2">
        <v>2</v>
      </c>
      <c r="C65" s="2">
        <v>1</v>
      </c>
    </row>
    <row r="66" spans="1:3">
      <c r="A66" s="2">
        <v>210</v>
      </c>
      <c r="B66" s="2">
        <v>2</v>
      </c>
      <c r="C66" s="2">
        <v>2</v>
      </c>
    </row>
    <row r="67" spans="1:3">
      <c r="A67" s="2">
        <v>211</v>
      </c>
      <c r="B67" s="2">
        <v>2</v>
      </c>
      <c r="C67" s="2">
        <v>2</v>
      </c>
    </row>
    <row r="68" spans="1:3">
      <c r="A68" s="2">
        <v>212</v>
      </c>
      <c r="B68" s="2">
        <v>2</v>
      </c>
      <c r="C68" s="2">
        <v>2</v>
      </c>
    </row>
    <row r="69" spans="1:3">
      <c r="A69" s="2">
        <v>213</v>
      </c>
      <c r="B69" s="2">
        <v>2</v>
      </c>
      <c r="C69" s="2">
        <v>1</v>
      </c>
    </row>
    <row r="70" spans="1:3">
      <c r="A70" s="2">
        <v>214</v>
      </c>
      <c r="B70" s="2">
        <v>2</v>
      </c>
      <c r="C70" s="2">
        <v>2</v>
      </c>
    </row>
    <row r="71" spans="1:3">
      <c r="A71" s="2">
        <v>215</v>
      </c>
      <c r="B71" s="2">
        <v>2</v>
      </c>
      <c r="C71" s="2">
        <v>1</v>
      </c>
    </row>
    <row r="72" spans="1:3">
      <c r="A72" s="2">
        <v>216</v>
      </c>
      <c r="B72" s="2">
        <v>2</v>
      </c>
      <c r="C72" s="2">
        <v>2</v>
      </c>
    </row>
    <row r="73" spans="1:3">
      <c r="A73" s="2">
        <v>217</v>
      </c>
      <c r="B73" s="2">
        <v>2</v>
      </c>
      <c r="C73" s="2">
        <v>1</v>
      </c>
    </row>
    <row r="74" spans="1:3">
      <c r="A74" s="2">
        <v>218</v>
      </c>
      <c r="B74" s="2">
        <v>2</v>
      </c>
      <c r="C74" s="2">
        <v>1</v>
      </c>
    </row>
    <row r="75" spans="1:3">
      <c r="A75" s="2">
        <v>219</v>
      </c>
      <c r="B75" s="2">
        <v>2</v>
      </c>
      <c r="C75" s="2">
        <v>2</v>
      </c>
    </row>
    <row r="76" spans="1:3">
      <c r="A76" s="2">
        <v>220</v>
      </c>
      <c r="B76" s="2">
        <v>2</v>
      </c>
      <c r="C76" s="2">
        <v>1</v>
      </c>
    </row>
    <row r="77" spans="1:3">
      <c r="A77" s="2">
        <v>221</v>
      </c>
      <c r="B77" s="2">
        <v>2</v>
      </c>
      <c r="C77" s="2">
        <v>1</v>
      </c>
    </row>
    <row r="78" spans="1:3">
      <c r="A78" s="2">
        <v>222</v>
      </c>
      <c r="B78" s="2">
        <v>2</v>
      </c>
      <c r="C78" s="2">
        <v>1</v>
      </c>
    </row>
    <row r="79" spans="1:3">
      <c r="A79" s="2">
        <v>223</v>
      </c>
      <c r="B79" s="2">
        <v>2</v>
      </c>
      <c r="C79" s="2">
        <v>2</v>
      </c>
    </row>
    <row r="80" spans="1:3">
      <c r="A80" s="2">
        <v>224</v>
      </c>
      <c r="B80" s="2">
        <v>2</v>
      </c>
      <c r="C80" s="2">
        <v>1</v>
      </c>
    </row>
    <row r="81" spans="1:3">
      <c r="A81" s="2">
        <v>225</v>
      </c>
      <c r="B81" s="2">
        <v>2</v>
      </c>
      <c r="C81" s="2">
        <v>2</v>
      </c>
    </row>
    <row r="82" spans="1:3">
      <c r="A82" s="2">
        <v>226</v>
      </c>
      <c r="B82" s="2">
        <v>2</v>
      </c>
      <c r="C82" s="2">
        <v>2</v>
      </c>
    </row>
    <row r="83" spans="1:3">
      <c r="A83" s="2">
        <v>227</v>
      </c>
      <c r="B83" s="2">
        <v>2</v>
      </c>
      <c r="C83" s="2">
        <v>2</v>
      </c>
    </row>
    <row r="84" spans="1:3">
      <c r="A84" s="2">
        <v>228</v>
      </c>
      <c r="B84" s="2">
        <v>2</v>
      </c>
      <c r="C84" s="2">
        <v>2</v>
      </c>
    </row>
    <row r="85" spans="1:3">
      <c r="A85" s="2">
        <v>229</v>
      </c>
      <c r="B85" s="2">
        <v>2</v>
      </c>
      <c r="C85" s="2">
        <v>1</v>
      </c>
    </row>
    <row r="86" spans="1:3">
      <c r="A86" s="2">
        <v>230</v>
      </c>
      <c r="B86" s="2">
        <v>2</v>
      </c>
      <c r="C86" s="2">
        <v>1</v>
      </c>
    </row>
    <row r="87" spans="1:3">
      <c r="A87" s="2">
        <v>231</v>
      </c>
      <c r="B87" s="2">
        <v>2</v>
      </c>
      <c r="C87" s="2">
        <v>2</v>
      </c>
    </row>
    <row r="88" spans="1:3">
      <c r="A88" s="2">
        <v>232</v>
      </c>
      <c r="B88" s="2">
        <v>2</v>
      </c>
      <c r="C88" s="2">
        <v>1</v>
      </c>
    </row>
    <row r="89" spans="1:3">
      <c r="A89" s="2">
        <v>233</v>
      </c>
      <c r="B89" s="2">
        <v>2</v>
      </c>
      <c r="C89" s="2">
        <v>1</v>
      </c>
    </row>
    <row r="90" spans="1:3">
      <c r="A90" s="2">
        <v>234</v>
      </c>
      <c r="B90" s="2">
        <v>2</v>
      </c>
      <c r="C90" s="2">
        <v>2</v>
      </c>
    </row>
    <row r="91" spans="1:3">
      <c r="A91" s="2">
        <v>235</v>
      </c>
      <c r="B91" s="2">
        <v>2</v>
      </c>
      <c r="C91" s="2">
        <v>1</v>
      </c>
    </row>
    <row r="92" spans="1:3">
      <c r="A92" s="2">
        <v>236</v>
      </c>
      <c r="B92" s="2">
        <v>2</v>
      </c>
      <c r="C92" s="2">
        <v>1</v>
      </c>
    </row>
    <row r="93" spans="1:3">
      <c r="A93" s="2">
        <v>237</v>
      </c>
      <c r="B93" s="2">
        <v>2</v>
      </c>
      <c r="C93" s="2">
        <v>2</v>
      </c>
    </row>
    <row r="94" spans="1:3">
      <c r="A94" s="2">
        <v>238</v>
      </c>
      <c r="B94" s="2">
        <v>2</v>
      </c>
      <c r="C94" s="2">
        <v>2</v>
      </c>
    </row>
    <row r="95" spans="1:3">
      <c r="A95" s="2">
        <v>239</v>
      </c>
      <c r="B95" s="2">
        <v>2</v>
      </c>
      <c r="C95" s="2">
        <v>1</v>
      </c>
    </row>
    <row r="96" spans="1:3">
      <c r="A96" s="2">
        <v>240</v>
      </c>
      <c r="B96" s="2">
        <v>2</v>
      </c>
      <c r="C96" s="2">
        <v>1</v>
      </c>
    </row>
  </sheetData>
  <sortState xmlns:xlrd2="http://schemas.microsoft.com/office/spreadsheetml/2017/richdata2" ref="A12:D91">
    <sortCondition ref="B12:B91"/>
    <sortCondition ref="D12:D91"/>
  </sortState>
  <mergeCells count="4">
    <mergeCell ref="B4:B6"/>
    <mergeCell ref="B11:B13"/>
    <mergeCell ref="O11:O13"/>
    <mergeCell ref="I11:M13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0"/>
  <sheetViews>
    <sheetView workbookViewId="0">
      <pane ySplit="20" topLeftCell="A21" activePane="bottomLeft" state="frozen"/>
      <selection pane="bottomLeft"/>
    </sheetView>
  </sheetViews>
  <sheetFormatPr defaultRowHeight="18.75"/>
  <cols>
    <col min="1" max="1" width="7.5" customWidth="1"/>
    <col min="2" max="4" width="11" customWidth="1"/>
    <col min="6" max="6" width="7.5" customWidth="1"/>
    <col min="7" max="9" width="11" customWidth="1"/>
  </cols>
  <sheetData>
    <row r="1" spans="1:7">
      <c r="A1" s="6" t="s">
        <v>198</v>
      </c>
    </row>
    <row r="2" spans="1:7">
      <c r="A2" t="s">
        <v>115</v>
      </c>
    </row>
    <row r="4" spans="1:7">
      <c r="B4" t="s">
        <v>116</v>
      </c>
    </row>
    <row r="5" spans="1:7">
      <c r="B5" s="29" t="s">
        <v>134</v>
      </c>
      <c r="C5" s="59"/>
    </row>
    <row r="6" spans="1:7">
      <c r="B6" t="s">
        <v>117</v>
      </c>
    </row>
    <row r="7" spans="1:7">
      <c r="C7" s="60" t="s">
        <v>118</v>
      </c>
      <c r="D7" s="61"/>
      <c r="E7" s="61"/>
      <c r="F7" s="61"/>
      <c r="G7" s="62"/>
    </row>
    <row r="8" spans="1:7">
      <c r="C8" s="63"/>
      <c r="D8" s="64"/>
      <c r="E8" s="64"/>
      <c r="F8" s="64"/>
      <c r="G8" s="65"/>
    </row>
    <row r="9" spans="1:7">
      <c r="C9" s="66"/>
      <c r="D9" s="67"/>
      <c r="E9" s="67"/>
      <c r="F9" s="67"/>
      <c r="G9" s="68"/>
    </row>
    <row r="11" spans="1:7">
      <c r="B11" t="s">
        <v>119</v>
      </c>
    </row>
    <row r="12" spans="1:7">
      <c r="B12" s="29" t="s">
        <v>134</v>
      </c>
      <c r="C12" s="59"/>
    </row>
    <row r="13" spans="1:7">
      <c r="B13" t="s">
        <v>120</v>
      </c>
    </row>
    <row r="14" spans="1:7">
      <c r="C14" s="60" t="s">
        <v>121</v>
      </c>
      <c r="D14" s="61"/>
      <c r="E14" s="61"/>
      <c r="F14" s="61"/>
      <c r="G14" s="62"/>
    </row>
    <row r="15" spans="1:7">
      <c r="C15" s="63"/>
      <c r="D15" s="64"/>
      <c r="E15" s="64"/>
      <c r="F15" s="64"/>
      <c r="G15" s="65"/>
    </row>
    <row r="16" spans="1:7">
      <c r="C16" s="66"/>
      <c r="D16" s="67"/>
      <c r="E16" s="67"/>
      <c r="F16" s="67"/>
      <c r="G16" s="68"/>
    </row>
    <row r="19" spans="1:9">
      <c r="A19" s="44" t="s">
        <v>113</v>
      </c>
      <c r="B19" s="44"/>
      <c r="C19" s="44"/>
      <c r="D19" s="44"/>
      <c r="F19" s="45" t="s">
        <v>114</v>
      </c>
      <c r="G19" s="45"/>
      <c r="H19" s="45"/>
      <c r="I19" s="45"/>
    </row>
    <row r="20" spans="1:9" ht="37.5">
      <c r="A20" s="32" t="s">
        <v>33</v>
      </c>
      <c r="B20" s="33" t="s">
        <v>1</v>
      </c>
      <c r="C20" s="33" t="s">
        <v>0</v>
      </c>
      <c r="D20" s="33" t="s">
        <v>2</v>
      </c>
      <c r="F20" s="32" t="s">
        <v>33</v>
      </c>
      <c r="G20" s="33" t="s">
        <v>1</v>
      </c>
      <c r="H20" s="33" t="s">
        <v>0</v>
      </c>
      <c r="I20" s="33" t="s">
        <v>2</v>
      </c>
    </row>
    <row r="21" spans="1:9">
      <c r="A21" s="30">
        <v>1</v>
      </c>
      <c r="B21" s="30">
        <v>80</v>
      </c>
      <c r="C21" s="30">
        <v>110</v>
      </c>
      <c r="D21" s="31">
        <v>24.341758286340216</v>
      </c>
      <c r="F21" s="30">
        <v>2</v>
      </c>
      <c r="G21" s="30">
        <v>72</v>
      </c>
      <c r="H21" s="30">
        <v>115</v>
      </c>
      <c r="I21" s="31">
        <v>28.720083246618103</v>
      </c>
    </row>
    <row r="22" spans="1:9">
      <c r="A22" s="30">
        <v>4</v>
      </c>
      <c r="B22" s="30">
        <v>70</v>
      </c>
      <c r="C22" s="30">
        <v>110</v>
      </c>
      <c r="D22" s="31">
        <v>21.878715814506538</v>
      </c>
      <c r="F22" s="30">
        <v>3</v>
      </c>
      <c r="G22" s="30">
        <v>83</v>
      </c>
      <c r="H22" s="30">
        <v>140</v>
      </c>
      <c r="I22" s="31">
        <v>25.806451612903224</v>
      </c>
    </row>
    <row r="23" spans="1:9">
      <c r="A23" s="30">
        <v>6</v>
      </c>
      <c r="B23" s="30">
        <v>56</v>
      </c>
      <c r="C23" s="30">
        <v>90</v>
      </c>
      <c r="D23" s="31">
        <v>17.543090215341433</v>
      </c>
      <c r="F23" s="30">
        <v>5</v>
      </c>
      <c r="G23" s="30">
        <v>90</v>
      </c>
      <c r="H23" s="30">
        <v>158</v>
      </c>
      <c r="I23" s="31">
        <v>25.153150229218223</v>
      </c>
    </row>
    <row r="24" spans="1:9">
      <c r="A24" s="30">
        <v>7</v>
      </c>
      <c r="B24" s="30">
        <v>72</v>
      </c>
      <c r="C24" s="30">
        <v>120</v>
      </c>
      <c r="D24" s="31">
        <v>22.432302515622492</v>
      </c>
      <c r="F24" s="30">
        <v>28</v>
      </c>
      <c r="G24" s="30">
        <v>80</v>
      </c>
      <c r="H24" s="30">
        <v>140</v>
      </c>
      <c r="I24" s="31">
        <v>27.239224483255885</v>
      </c>
    </row>
    <row r="25" spans="1:9">
      <c r="A25" s="30">
        <v>8</v>
      </c>
      <c r="B25" s="30">
        <v>58</v>
      </c>
      <c r="C25" s="30">
        <v>100</v>
      </c>
      <c r="D25" s="31">
        <v>21.989892365263682</v>
      </c>
      <c r="F25" s="30">
        <v>29</v>
      </c>
      <c r="G25" s="30">
        <v>83</v>
      </c>
      <c r="H25" s="30">
        <v>136</v>
      </c>
      <c r="I25" s="31">
        <v>29.585798816568044</v>
      </c>
    </row>
    <row r="26" spans="1:9">
      <c r="A26" s="30">
        <v>9</v>
      </c>
      <c r="B26" s="30">
        <v>73</v>
      </c>
      <c r="C26" s="30">
        <v>105</v>
      </c>
      <c r="D26" s="31">
        <v>19.473406629072173</v>
      </c>
      <c r="F26" s="30">
        <v>31</v>
      </c>
      <c r="G26" s="30">
        <v>83</v>
      </c>
      <c r="H26" s="30">
        <v>142</v>
      </c>
      <c r="I26" s="31">
        <v>27.343749999999996</v>
      </c>
    </row>
    <row r="27" spans="1:9">
      <c r="A27" s="30">
        <v>10</v>
      </c>
      <c r="B27" s="30">
        <v>70</v>
      </c>
      <c r="C27" s="30">
        <v>100</v>
      </c>
      <c r="D27" s="31">
        <v>22.265624999999996</v>
      </c>
      <c r="F27" s="30">
        <v>32</v>
      </c>
      <c r="G27" s="30">
        <v>82</v>
      </c>
      <c r="H27" s="30">
        <v>122</v>
      </c>
      <c r="I27" s="31">
        <v>27.555555555555557</v>
      </c>
    </row>
    <row r="28" spans="1:9">
      <c r="A28" s="30">
        <v>11</v>
      </c>
      <c r="B28" s="30">
        <v>69</v>
      </c>
      <c r="C28" s="30">
        <v>128</v>
      </c>
      <c r="D28" s="31">
        <v>23.725286160249738</v>
      </c>
      <c r="F28" s="30">
        <v>43</v>
      </c>
      <c r="G28" s="30">
        <v>90</v>
      </c>
      <c r="H28" s="30">
        <v>158</v>
      </c>
      <c r="I28" s="31">
        <v>26.171874999999996</v>
      </c>
    </row>
    <row r="29" spans="1:9">
      <c r="A29" s="30">
        <v>12</v>
      </c>
      <c r="B29" s="30">
        <v>68</v>
      </c>
      <c r="C29" s="30">
        <v>101</v>
      </c>
      <c r="D29" s="31">
        <v>22.832879346258608</v>
      </c>
      <c r="F29" s="30">
        <v>52</v>
      </c>
      <c r="G29" s="30">
        <v>76</v>
      </c>
      <c r="H29" s="30">
        <v>128</v>
      </c>
      <c r="I29" s="31">
        <v>28.53745541022592</v>
      </c>
    </row>
    <row r="30" spans="1:9">
      <c r="A30" s="30">
        <v>13</v>
      </c>
      <c r="B30" s="30">
        <v>90</v>
      </c>
      <c r="C30" s="30">
        <v>103</v>
      </c>
      <c r="D30" s="31">
        <v>19.227687870533565</v>
      </c>
      <c r="F30" s="30">
        <v>53</v>
      </c>
      <c r="G30" s="30">
        <v>70</v>
      </c>
      <c r="H30" s="30">
        <v>110</v>
      </c>
      <c r="I30" s="31">
        <v>26.222222222222221</v>
      </c>
    </row>
    <row r="31" spans="1:9">
      <c r="A31" s="30">
        <v>14</v>
      </c>
      <c r="B31" s="30">
        <v>69</v>
      </c>
      <c r="C31" s="30">
        <v>125</v>
      </c>
      <c r="D31" s="31">
        <v>18.818924310286427</v>
      </c>
      <c r="F31" s="30">
        <v>65</v>
      </c>
      <c r="G31" s="30">
        <v>70</v>
      </c>
      <c r="H31" s="30">
        <v>130</v>
      </c>
      <c r="I31" s="31">
        <v>25.674519165803343</v>
      </c>
    </row>
    <row r="32" spans="1:9">
      <c r="A32" s="30">
        <v>15</v>
      </c>
      <c r="B32" s="30">
        <v>100</v>
      </c>
      <c r="C32" s="30">
        <v>150</v>
      </c>
      <c r="D32" s="31">
        <v>23.61275088547816</v>
      </c>
      <c r="F32" s="30">
        <v>70</v>
      </c>
      <c r="G32" s="30">
        <v>90</v>
      </c>
      <c r="H32" s="30">
        <v>130</v>
      </c>
      <c r="I32" s="31">
        <v>32.029085872576175</v>
      </c>
    </row>
    <row r="33" spans="1:9">
      <c r="A33" s="30">
        <v>16</v>
      </c>
      <c r="B33" s="30">
        <v>74</v>
      </c>
      <c r="C33" s="30">
        <v>134</v>
      </c>
      <c r="D33" s="31">
        <v>16.233072749797088</v>
      </c>
      <c r="F33" s="30">
        <v>72</v>
      </c>
      <c r="G33" s="30">
        <v>84</v>
      </c>
      <c r="H33" s="30">
        <v>140</v>
      </c>
      <c r="I33" s="31">
        <v>29.515938606847698</v>
      </c>
    </row>
    <row r="34" spans="1:9">
      <c r="A34" s="30">
        <v>17</v>
      </c>
      <c r="B34" s="30">
        <v>90</v>
      </c>
      <c r="C34" s="30">
        <v>134</v>
      </c>
      <c r="D34" s="31">
        <v>23.335466144755166</v>
      </c>
      <c r="F34" s="30">
        <v>76</v>
      </c>
      <c r="G34" s="30">
        <v>86</v>
      </c>
      <c r="H34" s="30">
        <v>128</v>
      </c>
      <c r="I34" s="31">
        <v>28.720083246618103</v>
      </c>
    </row>
    <row r="35" spans="1:9">
      <c r="A35" s="30">
        <v>18</v>
      </c>
      <c r="B35" s="30">
        <v>62</v>
      </c>
      <c r="C35" s="30">
        <v>115</v>
      </c>
      <c r="D35" s="31">
        <v>24.888888888888889</v>
      </c>
      <c r="F35" s="30">
        <v>77</v>
      </c>
      <c r="G35" s="30">
        <v>83</v>
      </c>
      <c r="H35" s="30">
        <v>130</v>
      </c>
      <c r="I35" s="31">
        <v>31.217481789802285</v>
      </c>
    </row>
    <row r="36" spans="1:9">
      <c r="A36" s="30">
        <v>19</v>
      </c>
      <c r="B36" s="30">
        <v>86</v>
      </c>
      <c r="C36" s="30">
        <v>126</v>
      </c>
      <c r="D36" s="31">
        <v>24.919900320398717</v>
      </c>
      <c r="F36" s="30">
        <v>86</v>
      </c>
      <c r="G36" s="30">
        <v>100</v>
      </c>
      <c r="H36" s="30">
        <v>144</v>
      </c>
      <c r="I36" s="31">
        <v>26.835180055401661</v>
      </c>
    </row>
    <row r="37" spans="1:9">
      <c r="A37" s="30">
        <v>20</v>
      </c>
      <c r="B37" s="30">
        <v>70</v>
      </c>
      <c r="C37" s="30">
        <v>120</v>
      </c>
      <c r="D37" s="31">
        <v>19.77769866698311</v>
      </c>
      <c r="F37" s="30">
        <v>91</v>
      </c>
      <c r="G37" s="30">
        <v>80</v>
      </c>
      <c r="H37" s="30">
        <v>130</v>
      </c>
      <c r="I37" s="31">
        <v>26.619343389529721</v>
      </c>
    </row>
    <row r="38" spans="1:9">
      <c r="A38" s="30">
        <v>21</v>
      </c>
      <c r="B38" s="30">
        <v>60</v>
      </c>
      <c r="C38" s="30">
        <v>100</v>
      </c>
      <c r="D38" s="31">
        <v>24.671052631578949</v>
      </c>
      <c r="F38" s="30">
        <v>96</v>
      </c>
      <c r="G38" s="30">
        <v>64</v>
      </c>
      <c r="H38" s="30">
        <v>99</v>
      </c>
      <c r="I38" s="31">
        <v>26.835180055401661</v>
      </c>
    </row>
    <row r="39" spans="1:9">
      <c r="A39" s="30">
        <v>22</v>
      </c>
      <c r="B39" s="30">
        <v>80</v>
      </c>
      <c r="C39" s="30">
        <v>128</v>
      </c>
      <c r="D39" s="31">
        <v>21.501886486267189</v>
      </c>
      <c r="F39" s="30">
        <v>99</v>
      </c>
      <c r="G39" s="30">
        <v>88</v>
      </c>
      <c r="H39" s="30">
        <v>120</v>
      </c>
      <c r="I39" s="31">
        <v>28.250969809411369</v>
      </c>
    </row>
    <row r="40" spans="1:9">
      <c r="A40" s="30">
        <v>23</v>
      </c>
      <c r="B40" s="30">
        <v>80</v>
      </c>
      <c r="C40" s="30">
        <v>120</v>
      </c>
      <c r="D40" s="31">
        <v>21.907582457706194</v>
      </c>
      <c r="F40" s="30">
        <v>101</v>
      </c>
      <c r="G40" s="30">
        <v>75</v>
      </c>
      <c r="H40" s="30">
        <v>118</v>
      </c>
      <c r="I40" s="31">
        <v>32.342449464922709</v>
      </c>
    </row>
    <row r="41" spans="1:9">
      <c r="A41" s="30">
        <v>24</v>
      </c>
      <c r="B41" s="30">
        <v>41</v>
      </c>
      <c r="C41" s="30">
        <v>92</v>
      </c>
      <c r="D41" s="31">
        <v>22.432302515622492</v>
      </c>
      <c r="F41" s="30">
        <v>121</v>
      </c>
      <c r="G41" s="30">
        <v>90</v>
      </c>
      <c r="H41" s="30">
        <v>145</v>
      </c>
      <c r="I41" s="31">
        <v>26.377898098014718</v>
      </c>
    </row>
    <row r="42" spans="1:9">
      <c r="A42" s="30">
        <v>25</v>
      </c>
      <c r="B42" s="30">
        <v>98</v>
      </c>
      <c r="C42" s="30">
        <v>158</v>
      </c>
      <c r="D42" s="31">
        <v>16.435354273192111</v>
      </c>
      <c r="F42" s="30">
        <v>123</v>
      </c>
      <c r="G42" s="30">
        <v>86</v>
      </c>
      <c r="H42" s="30">
        <v>160</v>
      </c>
      <c r="I42" s="31">
        <v>29.757584555087824</v>
      </c>
    </row>
    <row r="43" spans="1:9">
      <c r="A43" s="30">
        <v>26</v>
      </c>
      <c r="B43" s="30">
        <v>60</v>
      </c>
      <c r="C43" s="30">
        <v>100</v>
      </c>
      <c r="D43" s="31">
        <v>22.222222222222221</v>
      </c>
      <c r="F43" s="30">
        <v>133</v>
      </c>
      <c r="G43" s="30">
        <v>60</v>
      </c>
      <c r="H43" s="30">
        <v>110</v>
      </c>
      <c r="I43" s="31">
        <v>26.986001011975038</v>
      </c>
    </row>
    <row r="44" spans="1:9">
      <c r="A44" s="30">
        <v>27</v>
      </c>
      <c r="B44" s="30">
        <v>50</v>
      </c>
      <c r="C44" s="30">
        <v>90</v>
      </c>
      <c r="D44" s="31">
        <v>20.39542143600416</v>
      </c>
      <c r="F44" s="30">
        <v>135</v>
      </c>
      <c r="G44" s="30">
        <v>78</v>
      </c>
      <c r="H44" s="30">
        <v>110</v>
      </c>
      <c r="I44" s="31">
        <v>27.055150884495315</v>
      </c>
    </row>
    <row r="45" spans="1:9">
      <c r="A45" s="30">
        <v>30</v>
      </c>
      <c r="B45" s="30">
        <v>90</v>
      </c>
      <c r="C45" s="30">
        <v>120</v>
      </c>
      <c r="D45" s="31">
        <v>19.723865877712029</v>
      </c>
      <c r="F45" s="30">
        <v>143</v>
      </c>
      <c r="G45" s="30">
        <v>70</v>
      </c>
      <c r="H45" s="30">
        <v>135</v>
      </c>
      <c r="I45" s="31">
        <v>26.672763298277697</v>
      </c>
    </row>
    <row r="46" spans="1:9">
      <c r="A46" s="30">
        <v>33</v>
      </c>
      <c r="B46" s="30">
        <v>90</v>
      </c>
      <c r="C46" s="30">
        <v>130</v>
      </c>
      <c r="D46" s="31">
        <v>21.35930624973301</v>
      </c>
      <c r="F46" s="30">
        <v>146</v>
      </c>
      <c r="G46" s="30">
        <v>70</v>
      </c>
      <c r="H46" s="30">
        <v>130</v>
      </c>
      <c r="I46" s="31">
        <v>28.841531805800347</v>
      </c>
    </row>
    <row r="47" spans="1:9">
      <c r="A47" s="30">
        <v>34</v>
      </c>
      <c r="B47" s="30">
        <v>75</v>
      </c>
      <c r="C47" s="30">
        <v>110</v>
      </c>
      <c r="D47" s="31">
        <v>22.4058769513315</v>
      </c>
      <c r="F47" s="30">
        <v>147</v>
      </c>
      <c r="G47" s="30">
        <v>92</v>
      </c>
      <c r="H47" s="30">
        <v>145</v>
      </c>
      <c r="I47" s="31">
        <v>35.086180430682866</v>
      </c>
    </row>
    <row r="48" spans="1:9">
      <c r="A48" s="30">
        <v>35</v>
      </c>
      <c r="B48" s="30">
        <v>70</v>
      </c>
      <c r="C48" s="30">
        <v>110</v>
      </c>
      <c r="D48" s="31">
        <v>23.011176857330703</v>
      </c>
      <c r="F48" s="30">
        <v>157</v>
      </c>
      <c r="G48" s="30">
        <v>74</v>
      </c>
      <c r="H48" s="30">
        <v>108</v>
      </c>
      <c r="I48" s="31">
        <v>29.242108636436463</v>
      </c>
    </row>
    <row r="49" spans="1:9">
      <c r="A49" s="30">
        <v>36</v>
      </c>
      <c r="B49" s="30">
        <v>80</v>
      </c>
      <c r="C49" s="30">
        <v>120</v>
      </c>
      <c r="D49" s="31">
        <v>21.35930624973301</v>
      </c>
      <c r="F49" s="30">
        <v>158</v>
      </c>
      <c r="G49" s="30">
        <v>70</v>
      </c>
      <c r="H49" s="30">
        <v>140</v>
      </c>
      <c r="I49" s="31">
        <v>26.314635323012148</v>
      </c>
    </row>
    <row r="50" spans="1:9">
      <c r="A50" s="30">
        <v>37</v>
      </c>
      <c r="B50" s="30">
        <v>80</v>
      </c>
      <c r="C50" s="30">
        <v>120</v>
      </c>
      <c r="D50" s="31">
        <v>23.725286160249738</v>
      </c>
      <c r="F50" s="30">
        <v>159</v>
      </c>
      <c r="G50" s="30">
        <v>97</v>
      </c>
      <c r="H50" s="30">
        <v>115</v>
      </c>
      <c r="I50" s="31">
        <v>25.390218522372525</v>
      </c>
    </row>
    <row r="51" spans="1:9">
      <c r="A51" s="30">
        <v>38</v>
      </c>
      <c r="B51" s="30">
        <v>67</v>
      </c>
      <c r="C51" s="30">
        <v>98</v>
      </c>
      <c r="D51" s="31">
        <v>18.132016511708652</v>
      </c>
      <c r="F51" s="30">
        <v>161</v>
      </c>
      <c r="G51" s="30">
        <v>70</v>
      </c>
      <c r="H51" s="30">
        <v>130</v>
      </c>
      <c r="I51" s="31">
        <v>26.037493991347535</v>
      </c>
    </row>
    <row r="52" spans="1:9">
      <c r="A52" s="30">
        <v>39</v>
      </c>
      <c r="B52" s="30">
        <v>54</v>
      </c>
      <c r="C52" s="30">
        <v>104</v>
      </c>
      <c r="D52" s="31">
        <v>23.437499999999996</v>
      </c>
      <c r="F52" s="30">
        <v>163</v>
      </c>
      <c r="G52" s="30">
        <v>80</v>
      </c>
      <c r="H52" s="30">
        <v>130</v>
      </c>
      <c r="I52" s="31">
        <v>30.102040816326536</v>
      </c>
    </row>
    <row r="53" spans="1:9">
      <c r="A53" s="30">
        <v>40</v>
      </c>
      <c r="B53" s="30">
        <v>60</v>
      </c>
      <c r="C53" s="30">
        <v>93</v>
      </c>
      <c r="D53" s="31">
        <v>20.824656393169516</v>
      </c>
      <c r="F53" s="30">
        <v>172</v>
      </c>
      <c r="G53" s="30">
        <v>95</v>
      </c>
      <c r="H53" s="30">
        <v>140</v>
      </c>
      <c r="I53" s="31">
        <v>26.935719503287071</v>
      </c>
    </row>
    <row r="54" spans="1:9">
      <c r="A54" s="30">
        <v>41</v>
      </c>
      <c r="B54" s="30">
        <v>78</v>
      </c>
      <c r="C54" s="30">
        <v>112</v>
      </c>
      <c r="D54" s="31">
        <v>21.644120707596251</v>
      </c>
      <c r="F54" s="30">
        <v>178</v>
      </c>
      <c r="G54" s="30">
        <v>70</v>
      </c>
      <c r="H54" s="30">
        <v>130</v>
      </c>
      <c r="I54" s="31">
        <v>29.585798816568044</v>
      </c>
    </row>
    <row r="55" spans="1:9">
      <c r="A55" s="30">
        <v>42</v>
      </c>
      <c r="B55" s="30">
        <v>78</v>
      </c>
      <c r="C55" s="30">
        <v>133</v>
      </c>
      <c r="D55" s="31">
        <v>18.420244726108503</v>
      </c>
      <c r="F55" s="30">
        <v>179</v>
      </c>
      <c r="G55" s="30">
        <v>88</v>
      </c>
      <c r="H55" s="30">
        <v>128</v>
      </c>
      <c r="I55" s="31">
        <v>26.314635323012148</v>
      </c>
    </row>
    <row r="56" spans="1:9">
      <c r="A56" s="30">
        <v>44</v>
      </c>
      <c r="B56" s="30">
        <v>68</v>
      </c>
      <c r="C56" s="30">
        <v>110</v>
      </c>
      <c r="D56" s="31">
        <v>20.957171162932475</v>
      </c>
      <c r="F56" s="30">
        <v>190</v>
      </c>
      <c r="G56" s="30">
        <v>50</v>
      </c>
      <c r="H56" s="30">
        <v>110</v>
      </c>
      <c r="I56" s="31">
        <v>25.631167499679609</v>
      </c>
    </row>
    <row r="57" spans="1:9">
      <c r="A57" s="30">
        <v>45</v>
      </c>
      <c r="B57" s="30">
        <v>72</v>
      </c>
      <c r="C57" s="30">
        <v>106</v>
      </c>
      <c r="D57" s="31">
        <v>17.087444999786406</v>
      </c>
      <c r="F57" s="30">
        <v>191</v>
      </c>
      <c r="G57" s="30">
        <v>60</v>
      </c>
      <c r="H57" s="30">
        <v>96</v>
      </c>
      <c r="I57" s="31">
        <v>26.037493991347535</v>
      </c>
    </row>
    <row r="58" spans="1:9">
      <c r="A58" s="30">
        <v>46</v>
      </c>
      <c r="B58" s="30">
        <v>74</v>
      </c>
      <c r="C58" s="30">
        <v>100</v>
      </c>
      <c r="D58" s="31">
        <v>22.718974400584202</v>
      </c>
    </row>
    <row r="59" spans="1:9">
      <c r="A59" s="30">
        <v>47</v>
      </c>
      <c r="B59" s="30">
        <v>72</v>
      </c>
      <c r="C59" s="30">
        <v>119</v>
      </c>
      <c r="D59" s="31">
        <v>20.342797783933516</v>
      </c>
    </row>
    <row r="60" spans="1:9">
      <c r="A60" s="30">
        <v>48</v>
      </c>
      <c r="B60" s="30">
        <v>70</v>
      </c>
      <c r="C60" s="30">
        <v>128</v>
      </c>
      <c r="D60" s="31">
        <v>20.932120124738347</v>
      </c>
    </row>
    <row r="61" spans="1:9">
      <c r="A61" s="30">
        <v>49</v>
      </c>
      <c r="B61" s="30">
        <v>61</v>
      </c>
      <c r="C61" s="30">
        <v>101</v>
      </c>
      <c r="D61" s="31">
        <v>18.749999999999996</v>
      </c>
    </row>
    <row r="62" spans="1:9">
      <c r="A62" s="30">
        <v>50</v>
      </c>
      <c r="B62" s="30">
        <v>65</v>
      </c>
      <c r="C62" s="30">
        <v>105</v>
      </c>
      <c r="D62" s="31">
        <v>21.926125822229718</v>
      </c>
    </row>
    <row r="63" spans="1:9">
      <c r="A63" s="30">
        <v>51</v>
      </c>
      <c r="B63" s="30">
        <v>70</v>
      </c>
      <c r="C63" s="30">
        <v>118</v>
      </c>
      <c r="D63" s="31">
        <v>24.919900320398717</v>
      </c>
    </row>
    <row r="64" spans="1:9">
      <c r="A64" s="30">
        <v>54</v>
      </c>
      <c r="B64" s="30">
        <v>90</v>
      </c>
      <c r="C64" s="30">
        <v>120</v>
      </c>
      <c r="D64" s="31">
        <v>24.835763499439189</v>
      </c>
    </row>
    <row r="65" spans="1:4">
      <c r="A65" s="30">
        <v>55</v>
      </c>
      <c r="B65" s="30">
        <v>80</v>
      </c>
      <c r="C65" s="30">
        <v>134</v>
      </c>
      <c r="D65" s="31">
        <v>18.025957378625218</v>
      </c>
    </row>
    <row r="66" spans="1:4">
      <c r="A66" s="30">
        <v>56</v>
      </c>
      <c r="B66" s="30">
        <v>80</v>
      </c>
      <c r="C66" s="30">
        <v>130</v>
      </c>
      <c r="D66" s="31">
        <v>20.028841531805796</v>
      </c>
    </row>
    <row r="67" spans="1:4">
      <c r="A67" s="30">
        <v>57</v>
      </c>
      <c r="B67" s="30">
        <v>70</v>
      </c>
      <c r="C67" s="30">
        <v>90</v>
      </c>
      <c r="D67" s="31">
        <v>21.874999999999996</v>
      </c>
    </row>
    <row r="68" spans="1:4">
      <c r="A68" s="30">
        <v>58</v>
      </c>
      <c r="B68" s="30">
        <v>65</v>
      </c>
      <c r="C68" s="30">
        <v>105</v>
      </c>
      <c r="D68" s="31">
        <v>22.212966819380814</v>
      </c>
    </row>
    <row r="69" spans="1:4">
      <c r="A69" s="30">
        <v>59</v>
      </c>
      <c r="B69" s="30">
        <v>85</v>
      </c>
      <c r="C69" s="30">
        <v>145</v>
      </c>
      <c r="D69" s="31">
        <v>24.654832347140037</v>
      </c>
    </row>
    <row r="70" spans="1:4">
      <c r="A70" s="30">
        <v>60</v>
      </c>
      <c r="B70" s="30">
        <v>80</v>
      </c>
      <c r="C70" s="30">
        <v>130</v>
      </c>
      <c r="D70" s="31">
        <v>24.005486968449926</v>
      </c>
    </row>
    <row r="71" spans="1:4">
      <c r="A71" s="30">
        <v>61</v>
      </c>
      <c r="B71" s="30">
        <v>64</v>
      </c>
      <c r="C71" s="30">
        <v>106</v>
      </c>
      <c r="D71" s="31">
        <v>18.611495844875346</v>
      </c>
    </row>
    <row r="72" spans="1:4">
      <c r="A72" s="30">
        <v>62</v>
      </c>
      <c r="B72" s="30">
        <v>60</v>
      </c>
      <c r="C72" s="30">
        <v>100</v>
      </c>
      <c r="D72" s="31">
        <v>18.986590720303784</v>
      </c>
    </row>
    <row r="73" spans="1:4">
      <c r="A73" s="30">
        <v>63</v>
      </c>
      <c r="B73" s="30">
        <v>78</v>
      </c>
      <c r="C73" s="30">
        <v>125</v>
      </c>
      <c r="D73" s="31">
        <v>24.801587301587304</v>
      </c>
    </row>
    <row r="74" spans="1:4">
      <c r="A74" s="30">
        <v>64</v>
      </c>
      <c r="B74" s="30">
        <v>60</v>
      </c>
      <c r="C74" s="30">
        <v>100</v>
      </c>
      <c r="D74" s="31">
        <v>19.312952005259696</v>
      </c>
    </row>
    <row r="75" spans="1:4">
      <c r="A75" s="30">
        <v>66</v>
      </c>
      <c r="B75" s="30">
        <v>81</v>
      </c>
      <c r="C75" s="30">
        <v>123</v>
      </c>
      <c r="D75" s="31">
        <v>23.309053069719038</v>
      </c>
    </row>
    <row r="76" spans="1:4">
      <c r="A76" s="30">
        <v>67</v>
      </c>
      <c r="B76" s="30">
        <v>70</v>
      </c>
      <c r="C76" s="30">
        <v>110</v>
      </c>
      <c r="D76" s="31">
        <v>21.333333333333332</v>
      </c>
    </row>
    <row r="77" spans="1:4">
      <c r="A77" s="30">
        <v>68</v>
      </c>
      <c r="B77" s="30">
        <v>70</v>
      </c>
      <c r="C77" s="30">
        <v>120</v>
      </c>
      <c r="D77" s="31">
        <v>21.230572023714146</v>
      </c>
    </row>
    <row r="78" spans="1:4">
      <c r="A78" s="30">
        <v>69</v>
      </c>
      <c r="B78" s="30">
        <v>58</v>
      </c>
      <c r="C78" s="30">
        <v>110</v>
      </c>
      <c r="D78" s="31">
        <v>23.555555555555557</v>
      </c>
    </row>
    <row r="79" spans="1:4">
      <c r="A79" s="30">
        <v>71</v>
      </c>
      <c r="B79" s="30">
        <v>70</v>
      </c>
      <c r="C79" s="30">
        <v>120</v>
      </c>
      <c r="D79" s="31">
        <v>20.429418362441915</v>
      </c>
    </row>
    <row r="80" spans="1:4">
      <c r="A80" s="30">
        <v>73</v>
      </c>
      <c r="B80" s="30">
        <v>58</v>
      </c>
      <c r="C80" s="30">
        <v>97</v>
      </c>
      <c r="D80" s="31">
        <v>20.134779750164363</v>
      </c>
    </row>
    <row r="81" spans="1:4">
      <c r="A81" s="30">
        <v>74</v>
      </c>
      <c r="B81" s="30">
        <v>81</v>
      </c>
      <c r="C81" s="30">
        <v>114</v>
      </c>
      <c r="D81" s="31">
        <v>22.600262984878366</v>
      </c>
    </row>
    <row r="82" spans="1:4">
      <c r="A82" s="30">
        <v>75</v>
      </c>
      <c r="B82" s="30">
        <v>72</v>
      </c>
      <c r="C82" s="30">
        <v>108</v>
      </c>
      <c r="D82" s="31">
        <v>24.835763499439189</v>
      </c>
    </row>
    <row r="83" spans="1:4">
      <c r="A83" s="30">
        <v>78</v>
      </c>
      <c r="B83" s="30">
        <v>75</v>
      </c>
      <c r="C83" s="30">
        <v>110</v>
      </c>
      <c r="D83" s="31">
        <v>20.5456936226167</v>
      </c>
    </row>
    <row r="84" spans="1:4">
      <c r="A84" s="30">
        <v>79</v>
      </c>
      <c r="B84" s="30">
        <v>68</v>
      </c>
      <c r="C84" s="30">
        <v>108</v>
      </c>
      <c r="D84" s="31">
        <v>22.222222222222221</v>
      </c>
    </row>
    <row r="85" spans="1:4">
      <c r="A85" s="30">
        <v>80</v>
      </c>
      <c r="B85" s="30">
        <v>68</v>
      </c>
      <c r="C85" s="30">
        <v>106</v>
      </c>
      <c r="D85" s="31">
        <v>18.491124260355029</v>
      </c>
    </row>
    <row r="86" spans="1:4">
      <c r="A86" s="30">
        <v>81</v>
      </c>
      <c r="B86" s="30">
        <v>78</v>
      </c>
      <c r="C86" s="30">
        <v>100</v>
      </c>
      <c r="D86" s="31">
        <v>23.051754907792983</v>
      </c>
    </row>
    <row r="87" spans="1:4">
      <c r="A87" s="30">
        <v>82</v>
      </c>
      <c r="B87" s="30">
        <v>76</v>
      </c>
      <c r="C87" s="30">
        <v>124</v>
      </c>
      <c r="D87" s="31">
        <v>20.028841531805796</v>
      </c>
    </row>
    <row r="88" spans="1:4">
      <c r="A88" s="30">
        <v>83</v>
      </c>
      <c r="B88" s="30">
        <v>60</v>
      </c>
      <c r="C88" s="30">
        <v>108</v>
      </c>
      <c r="D88" s="31">
        <v>18.591036746964122</v>
      </c>
    </row>
    <row r="89" spans="1:4">
      <c r="A89" s="30">
        <v>84</v>
      </c>
      <c r="B89" s="30">
        <v>58</v>
      </c>
      <c r="C89" s="30">
        <v>128</v>
      </c>
      <c r="D89" s="31">
        <v>18.261504747991236</v>
      </c>
    </row>
    <row r="90" spans="1:4">
      <c r="A90" s="30">
        <v>85</v>
      </c>
      <c r="B90" s="30">
        <v>60</v>
      </c>
      <c r="C90" s="30">
        <v>110</v>
      </c>
      <c r="D90" s="31">
        <v>22.718974400584202</v>
      </c>
    </row>
    <row r="91" spans="1:4">
      <c r="A91" s="30">
        <v>87</v>
      </c>
      <c r="B91" s="30">
        <v>90</v>
      </c>
      <c r="C91" s="30">
        <v>130</v>
      </c>
      <c r="D91" s="31">
        <v>23.111111111111111</v>
      </c>
    </row>
    <row r="92" spans="1:4">
      <c r="A92" s="30">
        <v>88</v>
      </c>
      <c r="B92" s="30">
        <v>70</v>
      </c>
      <c r="C92" s="30">
        <v>130</v>
      </c>
      <c r="D92" s="31">
        <v>22.189349112426033</v>
      </c>
    </row>
    <row r="93" spans="1:4">
      <c r="A93" s="30">
        <v>89</v>
      </c>
      <c r="B93" s="30">
        <v>60</v>
      </c>
      <c r="C93" s="30">
        <v>90</v>
      </c>
      <c r="D93" s="31">
        <v>22.060353798126947</v>
      </c>
    </row>
    <row r="94" spans="1:4">
      <c r="A94" s="30">
        <v>90</v>
      </c>
      <c r="B94" s="30">
        <v>55</v>
      </c>
      <c r="C94" s="30">
        <v>110</v>
      </c>
      <c r="D94" s="31">
        <v>22.769438353853939</v>
      </c>
    </row>
    <row r="95" spans="1:4">
      <c r="A95" s="30">
        <v>92</v>
      </c>
      <c r="B95" s="30">
        <v>70</v>
      </c>
      <c r="C95" s="30">
        <v>110</v>
      </c>
      <c r="D95" s="31">
        <v>17.578124999999996</v>
      </c>
    </row>
    <row r="96" spans="1:4">
      <c r="A96" s="30">
        <v>93</v>
      </c>
      <c r="B96" s="30">
        <v>76</v>
      </c>
      <c r="C96" s="30">
        <v>114</v>
      </c>
      <c r="D96" s="31">
        <v>23.111111111111111</v>
      </c>
    </row>
    <row r="97" spans="1:4">
      <c r="A97" s="30">
        <v>94</v>
      </c>
      <c r="B97" s="30">
        <v>72</v>
      </c>
      <c r="C97" s="30">
        <v>121</v>
      </c>
      <c r="D97" s="31">
        <v>19.817844493169169</v>
      </c>
    </row>
    <row r="98" spans="1:4">
      <c r="A98" s="30">
        <v>95</v>
      </c>
      <c r="B98" s="30">
        <v>78</v>
      </c>
      <c r="C98" s="30">
        <v>135</v>
      </c>
      <c r="D98" s="31">
        <v>24.444444444444443</v>
      </c>
    </row>
    <row r="99" spans="1:4">
      <c r="A99" s="30">
        <v>97</v>
      </c>
      <c r="B99" s="30">
        <v>60</v>
      </c>
      <c r="C99" s="30">
        <v>98</v>
      </c>
      <c r="D99" s="31">
        <v>17.287906898296509</v>
      </c>
    </row>
    <row r="100" spans="1:4">
      <c r="A100" s="30">
        <v>98</v>
      </c>
      <c r="B100" s="30">
        <v>68</v>
      </c>
      <c r="C100" s="30">
        <v>120</v>
      </c>
      <c r="D100" s="31">
        <v>21.7784352399737</v>
      </c>
    </row>
    <row r="101" spans="1:4">
      <c r="A101" s="30">
        <v>100</v>
      </c>
      <c r="B101" s="30">
        <v>60</v>
      </c>
      <c r="C101" s="30">
        <v>94</v>
      </c>
      <c r="D101" s="31">
        <v>19.735976492259113</v>
      </c>
    </row>
    <row r="102" spans="1:4">
      <c r="A102" s="30">
        <v>102</v>
      </c>
      <c r="B102" s="30">
        <v>78</v>
      </c>
      <c r="C102" s="30">
        <v>137</v>
      </c>
      <c r="D102" s="31">
        <v>21.227887617065555</v>
      </c>
    </row>
    <row r="103" spans="1:4">
      <c r="A103" s="30">
        <v>103</v>
      </c>
      <c r="B103" s="30">
        <v>76</v>
      </c>
      <c r="C103" s="30">
        <v>118</v>
      </c>
      <c r="D103" s="31">
        <v>19.650561749754367</v>
      </c>
    </row>
    <row r="104" spans="1:4">
      <c r="A104" s="30">
        <v>104</v>
      </c>
      <c r="B104" s="30">
        <v>78</v>
      </c>
      <c r="C104" s="30">
        <v>120</v>
      </c>
      <c r="D104" s="31">
        <v>23.309053069719038</v>
      </c>
    </row>
    <row r="105" spans="1:4">
      <c r="A105" s="30">
        <v>105</v>
      </c>
      <c r="B105" s="30">
        <v>71</v>
      </c>
      <c r="C105" s="30">
        <v>127</v>
      </c>
      <c r="D105" s="31">
        <v>22.939750692520775</v>
      </c>
    </row>
    <row r="106" spans="1:4">
      <c r="A106" s="30">
        <v>106</v>
      </c>
      <c r="B106" s="30">
        <v>97</v>
      </c>
      <c r="C106" s="30">
        <v>130</v>
      </c>
      <c r="D106" s="31">
        <v>19.948059768903612</v>
      </c>
    </row>
    <row r="107" spans="1:4">
      <c r="A107" s="30">
        <v>107</v>
      </c>
      <c r="B107" s="30">
        <v>85</v>
      </c>
      <c r="C107" s="30">
        <v>130</v>
      </c>
      <c r="D107" s="31">
        <v>23.233456176894723</v>
      </c>
    </row>
    <row r="108" spans="1:4">
      <c r="A108" s="30">
        <v>108</v>
      </c>
      <c r="B108" s="30">
        <v>78</v>
      </c>
      <c r="C108" s="30">
        <v>97</v>
      </c>
      <c r="D108" s="31">
        <v>21.786492374727668</v>
      </c>
    </row>
    <row r="109" spans="1:4">
      <c r="A109" s="30">
        <v>109</v>
      </c>
      <c r="B109" s="30">
        <v>60</v>
      </c>
      <c r="C109" s="30">
        <v>120</v>
      </c>
      <c r="D109" s="31">
        <v>22.666666666666668</v>
      </c>
    </row>
    <row r="110" spans="1:4">
      <c r="A110" s="30">
        <v>110</v>
      </c>
      <c r="B110" s="30">
        <v>90</v>
      </c>
      <c r="C110" s="30">
        <v>130</v>
      </c>
      <c r="D110" s="31">
        <v>23.601277245592115</v>
      </c>
    </row>
    <row r="111" spans="1:4">
      <c r="A111" s="30">
        <v>111</v>
      </c>
      <c r="B111" s="30">
        <v>61</v>
      </c>
      <c r="C111" s="30">
        <v>103</v>
      </c>
      <c r="D111" s="31">
        <v>17.598097502972653</v>
      </c>
    </row>
    <row r="112" spans="1:4">
      <c r="A112" s="30">
        <v>112</v>
      </c>
      <c r="B112" s="30">
        <v>64</v>
      </c>
      <c r="C112" s="30">
        <v>108</v>
      </c>
      <c r="D112" s="31">
        <v>24.218749999999996</v>
      </c>
    </row>
    <row r="113" spans="1:4">
      <c r="A113" s="30">
        <v>113</v>
      </c>
      <c r="B113" s="30">
        <v>60</v>
      </c>
      <c r="C113" s="30">
        <v>100</v>
      </c>
      <c r="D113" s="31">
        <v>23.495236874706311</v>
      </c>
    </row>
    <row r="114" spans="1:4">
      <c r="A114" s="30">
        <v>114</v>
      </c>
      <c r="B114" s="30">
        <v>78</v>
      </c>
      <c r="C114" s="30">
        <v>120</v>
      </c>
      <c r="D114" s="31">
        <v>18.645344042454013</v>
      </c>
    </row>
    <row r="115" spans="1:4">
      <c r="A115" s="30">
        <v>115</v>
      </c>
      <c r="B115" s="30">
        <v>75</v>
      </c>
      <c r="C115" s="30">
        <v>125</v>
      </c>
      <c r="D115" s="31">
        <v>19.650561749754367</v>
      </c>
    </row>
    <row r="116" spans="1:4">
      <c r="A116" s="30">
        <v>116</v>
      </c>
      <c r="B116" s="30">
        <v>85</v>
      </c>
      <c r="C116" s="30">
        <v>112</v>
      </c>
      <c r="D116" s="31">
        <v>20.832529609197174</v>
      </c>
    </row>
    <row r="117" spans="1:4">
      <c r="A117" s="30">
        <v>117</v>
      </c>
      <c r="B117" s="30">
        <v>51</v>
      </c>
      <c r="C117" s="30">
        <v>104</v>
      </c>
      <c r="D117" s="31">
        <v>20.82999519307803</v>
      </c>
    </row>
    <row r="118" spans="1:4">
      <c r="A118" s="30">
        <v>118</v>
      </c>
      <c r="B118" s="30">
        <v>70</v>
      </c>
      <c r="C118" s="30">
        <v>106</v>
      </c>
      <c r="D118" s="31">
        <v>20.28479857195018</v>
      </c>
    </row>
    <row r="119" spans="1:4">
      <c r="A119" s="30">
        <v>119</v>
      </c>
      <c r="B119" s="30">
        <v>60</v>
      </c>
      <c r="C119" s="30">
        <v>110</v>
      </c>
      <c r="D119" s="31">
        <v>20.957171162932475</v>
      </c>
    </row>
    <row r="120" spans="1:4">
      <c r="A120" s="30">
        <v>120</v>
      </c>
      <c r="B120" s="30">
        <v>78</v>
      </c>
      <c r="C120" s="30">
        <v>107</v>
      </c>
      <c r="D120" s="31">
        <v>19.111111111111111</v>
      </c>
    </row>
    <row r="121" spans="1:4">
      <c r="A121" s="30">
        <v>122</v>
      </c>
      <c r="B121" s="30">
        <v>65</v>
      </c>
      <c r="C121" s="30">
        <v>96</v>
      </c>
      <c r="D121" s="31">
        <v>20.028841531805796</v>
      </c>
    </row>
    <row r="122" spans="1:4">
      <c r="A122" s="30">
        <v>124</v>
      </c>
      <c r="B122" s="30">
        <v>76</v>
      </c>
      <c r="C122" s="30">
        <v>136</v>
      </c>
      <c r="D122" s="31">
        <v>19.223375624759708</v>
      </c>
    </row>
    <row r="123" spans="1:4">
      <c r="A123" s="30">
        <v>125</v>
      </c>
      <c r="B123" s="30">
        <v>75</v>
      </c>
      <c r="C123" s="30">
        <v>130</v>
      </c>
      <c r="D123" s="31">
        <v>19.976218787158146</v>
      </c>
    </row>
    <row r="124" spans="1:4">
      <c r="A124" s="30">
        <v>126</v>
      </c>
      <c r="B124" s="30">
        <v>80</v>
      </c>
      <c r="C124" s="30">
        <v>120</v>
      </c>
      <c r="D124" s="31">
        <v>23.634033007530842</v>
      </c>
    </row>
    <row r="125" spans="1:4">
      <c r="A125" s="30">
        <v>127</v>
      </c>
      <c r="B125" s="30">
        <v>90</v>
      </c>
      <c r="C125" s="30">
        <v>130</v>
      </c>
      <c r="D125" s="31">
        <v>23.495236874706311</v>
      </c>
    </row>
    <row r="126" spans="1:4">
      <c r="A126" s="30">
        <v>128</v>
      </c>
      <c r="B126" s="30">
        <v>78</v>
      </c>
      <c r="C126" s="30">
        <v>124</v>
      </c>
      <c r="D126" s="31">
        <v>22.060353798126947</v>
      </c>
    </row>
    <row r="127" spans="1:4">
      <c r="A127" s="30">
        <v>129</v>
      </c>
      <c r="B127" s="30">
        <v>70</v>
      </c>
      <c r="C127" s="30">
        <v>120</v>
      </c>
      <c r="D127" s="31">
        <v>19.473406629072173</v>
      </c>
    </row>
    <row r="128" spans="1:4">
      <c r="A128" s="30">
        <v>130</v>
      </c>
      <c r="B128" s="30">
        <v>70</v>
      </c>
      <c r="C128" s="30">
        <v>110</v>
      </c>
      <c r="D128" s="31">
        <v>18.870663376397157</v>
      </c>
    </row>
    <row r="129" spans="1:4">
      <c r="A129" s="30">
        <v>131</v>
      </c>
      <c r="B129" s="30">
        <v>60</v>
      </c>
      <c r="C129" s="30">
        <v>120</v>
      </c>
      <c r="D129" s="31">
        <v>23.530366343462209</v>
      </c>
    </row>
    <row r="130" spans="1:4">
      <c r="A130" s="30">
        <v>132</v>
      </c>
      <c r="B130" s="30">
        <v>78</v>
      </c>
      <c r="C130" s="30">
        <v>128</v>
      </c>
      <c r="D130" s="31">
        <v>23.309053069719038</v>
      </c>
    </row>
    <row r="131" spans="1:4">
      <c r="A131" s="30">
        <v>134</v>
      </c>
      <c r="B131" s="30">
        <v>60</v>
      </c>
      <c r="C131" s="30">
        <v>90</v>
      </c>
      <c r="D131" s="31">
        <v>21.644120707596251</v>
      </c>
    </row>
    <row r="132" spans="1:4">
      <c r="A132" s="30">
        <v>136</v>
      </c>
      <c r="B132" s="30">
        <v>60</v>
      </c>
      <c r="C132" s="30">
        <v>120</v>
      </c>
      <c r="D132" s="31">
        <v>20.957171162932475</v>
      </c>
    </row>
    <row r="133" spans="1:4">
      <c r="A133" s="30">
        <v>137</v>
      </c>
      <c r="B133" s="30">
        <v>90</v>
      </c>
      <c r="C133" s="30">
        <v>135</v>
      </c>
      <c r="D133" s="31">
        <v>22.071077879374805</v>
      </c>
    </row>
    <row r="134" spans="1:4">
      <c r="A134" s="30">
        <v>138</v>
      </c>
      <c r="B134" s="30">
        <v>65</v>
      </c>
      <c r="C134" s="30">
        <v>110</v>
      </c>
      <c r="D134" s="31">
        <v>22.506925207756233</v>
      </c>
    </row>
    <row r="135" spans="1:4">
      <c r="A135" s="30">
        <v>139</v>
      </c>
      <c r="B135" s="30">
        <v>68</v>
      </c>
      <c r="C135" s="30">
        <v>130</v>
      </c>
      <c r="D135" s="31">
        <v>21.926125822229718</v>
      </c>
    </row>
    <row r="136" spans="1:4">
      <c r="A136" s="30">
        <v>140</v>
      </c>
      <c r="B136" s="30">
        <v>64</v>
      </c>
      <c r="C136" s="30">
        <v>110</v>
      </c>
      <c r="D136" s="31">
        <v>21.359914560341757</v>
      </c>
    </row>
    <row r="137" spans="1:4">
      <c r="A137" s="30">
        <v>141</v>
      </c>
      <c r="B137" s="30">
        <v>62</v>
      </c>
      <c r="C137" s="30">
        <v>100</v>
      </c>
      <c r="D137" s="31">
        <v>21.093749999999996</v>
      </c>
    </row>
    <row r="138" spans="1:4">
      <c r="A138" s="30">
        <v>142</v>
      </c>
      <c r="B138" s="30">
        <v>70</v>
      </c>
      <c r="C138" s="30">
        <v>107</v>
      </c>
      <c r="D138" s="31">
        <v>20.239500758981279</v>
      </c>
    </row>
    <row r="139" spans="1:4">
      <c r="A139" s="30">
        <v>144</v>
      </c>
      <c r="B139" s="30">
        <v>80</v>
      </c>
      <c r="C139" s="30">
        <v>120</v>
      </c>
      <c r="D139" s="31">
        <v>12.499999999999998</v>
      </c>
    </row>
    <row r="140" spans="1:4">
      <c r="A140" s="30">
        <v>145</v>
      </c>
      <c r="B140" s="30">
        <v>80</v>
      </c>
      <c r="C140" s="30">
        <v>118</v>
      </c>
      <c r="D140" s="31">
        <v>20.444444444444443</v>
      </c>
    </row>
    <row r="141" spans="1:4">
      <c r="A141" s="30">
        <v>148</v>
      </c>
      <c r="B141" s="30">
        <v>76</v>
      </c>
      <c r="C141" s="30">
        <v>117</v>
      </c>
      <c r="D141" s="31">
        <v>22.64086462471699</v>
      </c>
    </row>
    <row r="142" spans="1:4">
      <c r="A142" s="30">
        <v>149</v>
      </c>
      <c r="B142" s="30">
        <v>77</v>
      </c>
      <c r="C142" s="30">
        <v>130</v>
      </c>
      <c r="D142" s="31">
        <v>20</v>
      </c>
    </row>
    <row r="143" spans="1:4">
      <c r="A143" s="30">
        <v>150</v>
      </c>
      <c r="B143" s="30">
        <v>72</v>
      </c>
      <c r="C143" s="30">
        <v>130</v>
      </c>
      <c r="D143" s="31">
        <v>24.888888888888889</v>
      </c>
    </row>
    <row r="144" spans="1:4">
      <c r="A144" s="30">
        <v>151</v>
      </c>
      <c r="B144" s="30">
        <v>90</v>
      </c>
      <c r="C144" s="30">
        <v>130</v>
      </c>
      <c r="D144" s="31">
        <v>14.453124999999996</v>
      </c>
    </row>
    <row r="145" spans="1:4">
      <c r="A145" s="30">
        <v>152</v>
      </c>
      <c r="B145" s="30">
        <v>70</v>
      </c>
      <c r="C145" s="30">
        <v>105</v>
      </c>
      <c r="D145" s="31">
        <v>22.031725684986377</v>
      </c>
    </row>
    <row r="146" spans="1:4">
      <c r="A146" s="30">
        <v>153</v>
      </c>
      <c r="B146" s="30">
        <v>70</v>
      </c>
      <c r="C146" s="30">
        <v>120</v>
      </c>
      <c r="D146" s="31">
        <v>23.61275088547816</v>
      </c>
    </row>
    <row r="147" spans="1:4">
      <c r="A147" s="30">
        <v>154</v>
      </c>
      <c r="B147" s="30">
        <v>90</v>
      </c>
      <c r="C147" s="30">
        <v>140</v>
      </c>
      <c r="D147" s="31">
        <v>22.942130453700404</v>
      </c>
    </row>
    <row r="148" spans="1:4">
      <c r="A148" s="30">
        <v>155</v>
      </c>
      <c r="B148" s="30">
        <v>65</v>
      </c>
      <c r="C148" s="30">
        <v>120</v>
      </c>
      <c r="D148" s="31">
        <v>22.432302515622492</v>
      </c>
    </row>
    <row r="149" spans="1:4">
      <c r="A149" s="30">
        <v>156</v>
      </c>
      <c r="B149" s="30">
        <v>78</v>
      </c>
      <c r="C149" s="30">
        <v>110</v>
      </c>
      <c r="D149" s="31">
        <v>24.456063417102378</v>
      </c>
    </row>
    <row r="150" spans="1:4">
      <c r="A150" s="30">
        <v>160</v>
      </c>
      <c r="B150" s="30">
        <v>55</v>
      </c>
      <c r="C150" s="30">
        <v>95</v>
      </c>
      <c r="D150" s="31">
        <v>20.28479857195018</v>
      </c>
    </row>
    <row r="151" spans="1:4">
      <c r="A151" s="30">
        <v>162</v>
      </c>
      <c r="B151" s="30">
        <v>80</v>
      </c>
      <c r="C151" s="30">
        <v>120</v>
      </c>
      <c r="D151" s="31">
        <v>23.422368361785505</v>
      </c>
    </row>
    <row r="152" spans="1:4">
      <c r="A152" s="30">
        <v>164</v>
      </c>
      <c r="B152" s="30">
        <v>50</v>
      </c>
      <c r="C152" s="30">
        <v>80</v>
      </c>
      <c r="D152" s="31">
        <v>19.477146814404431</v>
      </c>
    </row>
    <row r="153" spans="1:4">
      <c r="A153" s="30">
        <v>165</v>
      </c>
      <c r="B153" s="30">
        <v>70</v>
      </c>
      <c r="C153" s="30">
        <v>100</v>
      </c>
      <c r="D153" s="31">
        <v>22.832879346258608</v>
      </c>
    </row>
    <row r="154" spans="1:4">
      <c r="A154" s="30">
        <v>166</v>
      </c>
      <c r="B154" s="30">
        <v>72</v>
      </c>
      <c r="C154" s="30">
        <v>136</v>
      </c>
      <c r="D154" s="31">
        <v>19.433013260173752</v>
      </c>
    </row>
    <row r="155" spans="1:4">
      <c r="A155" s="30">
        <v>167</v>
      </c>
      <c r="B155" s="30">
        <v>68</v>
      </c>
      <c r="C155" s="30">
        <v>108</v>
      </c>
      <c r="D155" s="31">
        <v>24.304617877396701</v>
      </c>
    </row>
    <row r="156" spans="1:4">
      <c r="A156" s="30">
        <v>168</v>
      </c>
      <c r="B156" s="30">
        <v>90</v>
      </c>
      <c r="C156" s="30">
        <v>130</v>
      </c>
      <c r="D156" s="31">
        <v>21.936347412254616</v>
      </c>
    </row>
    <row r="157" spans="1:4">
      <c r="A157" s="30">
        <v>169</v>
      </c>
      <c r="B157" s="30">
        <v>80</v>
      </c>
      <c r="C157" s="30">
        <v>127</v>
      </c>
      <c r="D157" s="31">
        <v>22.481329065691202</v>
      </c>
    </row>
    <row r="158" spans="1:4">
      <c r="A158" s="30">
        <v>170</v>
      </c>
      <c r="B158" s="30">
        <v>60</v>
      </c>
      <c r="C158" s="30">
        <v>110</v>
      </c>
      <c r="D158" s="31">
        <v>19.195302796492154</v>
      </c>
    </row>
    <row r="159" spans="1:4">
      <c r="A159" s="30">
        <v>171</v>
      </c>
      <c r="B159" s="30">
        <v>76</v>
      </c>
      <c r="C159" s="30">
        <v>120</v>
      </c>
      <c r="D159" s="31">
        <v>21.093749999999996</v>
      </c>
    </row>
    <row r="160" spans="1:4">
      <c r="A160" s="30">
        <v>173</v>
      </c>
      <c r="B160" s="30">
        <v>60</v>
      </c>
      <c r="C160" s="30">
        <v>104</v>
      </c>
      <c r="D160" s="31">
        <v>21.484374999999996</v>
      </c>
    </row>
    <row r="161" spans="1:4">
      <c r="A161" s="30">
        <v>174</v>
      </c>
      <c r="B161" s="30">
        <v>64</v>
      </c>
      <c r="C161" s="30">
        <v>114</v>
      </c>
      <c r="D161" s="31">
        <v>21.829952199932254</v>
      </c>
    </row>
    <row r="162" spans="1:4">
      <c r="A162" s="30">
        <v>175</v>
      </c>
      <c r="B162" s="30">
        <v>65</v>
      </c>
      <c r="C162" s="30">
        <v>110</v>
      </c>
      <c r="D162" s="31">
        <v>22.769438353853939</v>
      </c>
    </row>
    <row r="163" spans="1:4">
      <c r="A163" s="30">
        <v>176</v>
      </c>
      <c r="B163" s="30">
        <v>63</v>
      </c>
      <c r="C163" s="30">
        <v>102</v>
      </c>
      <c r="D163" s="31">
        <v>22.07409972299169</v>
      </c>
    </row>
    <row r="164" spans="1:4">
      <c r="A164" s="30">
        <v>177</v>
      </c>
      <c r="B164" s="30">
        <v>80</v>
      </c>
      <c r="C164" s="30">
        <v>116</v>
      </c>
      <c r="D164" s="31">
        <v>24.977043158861342</v>
      </c>
    </row>
    <row r="165" spans="1:4">
      <c r="A165" s="30">
        <v>180</v>
      </c>
      <c r="B165" s="30">
        <v>70</v>
      </c>
      <c r="C165" s="30">
        <v>110</v>
      </c>
      <c r="D165" s="31">
        <v>24.557752341311129</v>
      </c>
    </row>
    <row r="166" spans="1:4">
      <c r="A166" s="30">
        <v>181</v>
      </c>
      <c r="B166" s="30">
        <v>70</v>
      </c>
      <c r="C166" s="30">
        <v>120</v>
      </c>
      <c r="D166" s="31">
        <v>22.64086462471699</v>
      </c>
    </row>
    <row r="167" spans="1:4">
      <c r="A167" s="30">
        <v>182</v>
      </c>
      <c r="B167" s="30">
        <v>62</v>
      </c>
      <c r="C167" s="30">
        <v>102</v>
      </c>
      <c r="D167" s="31">
        <v>19.979188345473464</v>
      </c>
    </row>
    <row r="168" spans="1:4">
      <c r="A168" s="30">
        <v>183</v>
      </c>
      <c r="B168" s="30">
        <v>52</v>
      </c>
      <c r="C168" s="30">
        <v>99</v>
      </c>
      <c r="D168" s="31">
        <v>18.611495844875346</v>
      </c>
    </row>
    <row r="169" spans="1:4">
      <c r="A169" s="30">
        <v>184</v>
      </c>
      <c r="B169" s="30">
        <v>81</v>
      </c>
      <c r="C169" s="30">
        <v>151</v>
      </c>
      <c r="D169" s="31">
        <v>21.7784352399737</v>
      </c>
    </row>
    <row r="170" spans="1:4">
      <c r="A170" s="30">
        <v>185</v>
      </c>
      <c r="B170" s="30">
        <v>90</v>
      </c>
      <c r="C170" s="30">
        <v>140</v>
      </c>
      <c r="D170" s="31">
        <v>22.222222222222221</v>
      </c>
    </row>
    <row r="171" spans="1:4">
      <c r="A171" s="30">
        <v>186</v>
      </c>
      <c r="B171" s="30">
        <v>80</v>
      </c>
      <c r="C171" s="30">
        <v>110</v>
      </c>
      <c r="D171" s="31">
        <v>21.484374999999996</v>
      </c>
    </row>
    <row r="172" spans="1:4">
      <c r="A172" s="30">
        <v>187</v>
      </c>
      <c r="B172" s="30">
        <v>90</v>
      </c>
      <c r="C172" s="30">
        <v>130</v>
      </c>
      <c r="D172" s="31">
        <v>20.342797783933516</v>
      </c>
    </row>
    <row r="173" spans="1:4">
      <c r="A173" s="30">
        <v>188</v>
      </c>
      <c r="B173" s="30">
        <v>79</v>
      </c>
      <c r="C173" s="30">
        <v>128</v>
      </c>
      <c r="D173" s="31">
        <v>20.5456936226167</v>
      </c>
    </row>
    <row r="174" spans="1:4">
      <c r="A174" s="30">
        <v>189</v>
      </c>
      <c r="B174" s="30">
        <v>78</v>
      </c>
      <c r="C174" s="30">
        <v>132</v>
      </c>
      <c r="D174" s="31">
        <v>23.111111111111111</v>
      </c>
    </row>
    <row r="175" spans="1:4">
      <c r="A175" s="30">
        <v>192</v>
      </c>
      <c r="B175" s="30">
        <v>58</v>
      </c>
      <c r="C175" s="30">
        <v>104</v>
      </c>
      <c r="D175" s="31">
        <v>19.289379267775161</v>
      </c>
    </row>
    <row r="176" spans="1:4">
      <c r="A176" s="30">
        <v>193</v>
      </c>
      <c r="B176" s="30">
        <v>76</v>
      </c>
      <c r="C176" s="30">
        <v>110</v>
      </c>
      <c r="D176" s="31">
        <v>20.444444444444443</v>
      </c>
    </row>
    <row r="177" spans="1:4">
      <c r="A177" s="30">
        <v>194</v>
      </c>
      <c r="B177" s="30">
        <v>90</v>
      </c>
      <c r="C177" s="30">
        <v>140</v>
      </c>
      <c r="D177" s="31">
        <v>16.560653393052053</v>
      </c>
    </row>
    <row r="178" spans="1:4">
      <c r="A178" s="30">
        <v>195</v>
      </c>
      <c r="B178" s="30">
        <v>60</v>
      </c>
      <c r="C178" s="30">
        <v>98</v>
      </c>
      <c r="D178" s="31">
        <v>19.817844493169169</v>
      </c>
    </row>
    <row r="179" spans="1:4">
      <c r="A179" s="30">
        <v>196</v>
      </c>
      <c r="B179" s="30">
        <v>90</v>
      </c>
      <c r="C179" s="30">
        <v>138</v>
      </c>
      <c r="D179" s="31">
        <v>22.222222222222221</v>
      </c>
    </row>
    <row r="180" spans="1:4">
      <c r="A180" s="30">
        <v>197</v>
      </c>
      <c r="B180" s="30">
        <v>77</v>
      </c>
      <c r="C180" s="30">
        <v>103</v>
      </c>
      <c r="D180" s="31">
        <v>19.531249999999996</v>
      </c>
    </row>
    <row r="181" spans="1:4">
      <c r="A181" s="30">
        <v>198</v>
      </c>
      <c r="B181" s="30">
        <v>60</v>
      </c>
      <c r="C181" s="30">
        <v>110</v>
      </c>
      <c r="D181" s="31">
        <v>19.289379267775161</v>
      </c>
    </row>
    <row r="182" spans="1:4">
      <c r="A182" s="30">
        <v>199</v>
      </c>
      <c r="B182" s="30">
        <v>83</v>
      </c>
      <c r="C182" s="30">
        <v>115</v>
      </c>
      <c r="D182" s="31">
        <v>18.730489073881373</v>
      </c>
    </row>
    <row r="183" spans="1:4">
      <c r="A183" s="30">
        <v>200</v>
      </c>
      <c r="B183" s="30">
        <v>60</v>
      </c>
      <c r="C183" s="30">
        <v>98</v>
      </c>
      <c r="D183" s="31">
        <v>23.872798522589072</v>
      </c>
    </row>
    <row r="184" spans="1:4">
      <c r="A184" s="30"/>
      <c r="B184" s="30"/>
      <c r="C184" s="30"/>
      <c r="D184" s="31"/>
    </row>
    <row r="185" spans="1:4">
      <c r="A185" s="30"/>
      <c r="B185" s="30"/>
      <c r="C185" s="30"/>
      <c r="D185" s="31"/>
    </row>
    <row r="186" spans="1:4">
      <c r="A186" s="30"/>
      <c r="B186" s="30"/>
      <c r="C186" s="30"/>
      <c r="D186" s="31"/>
    </row>
    <row r="187" spans="1:4">
      <c r="A187" s="30"/>
      <c r="B187" s="30"/>
      <c r="C187" s="30"/>
      <c r="D187" s="31"/>
    </row>
    <row r="188" spans="1:4">
      <c r="A188" s="30"/>
      <c r="B188" s="30"/>
      <c r="C188" s="30"/>
      <c r="D188" s="31"/>
    </row>
    <row r="189" spans="1:4">
      <c r="A189" s="30"/>
      <c r="B189" s="30"/>
      <c r="C189" s="30"/>
      <c r="D189" s="31"/>
    </row>
    <row r="190" spans="1:4">
      <c r="A190" s="30"/>
      <c r="B190" s="30"/>
      <c r="C190" s="30"/>
      <c r="D190" s="31"/>
    </row>
    <row r="191" spans="1:4">
      <c r="A191" s="30"/>
      <c r="B191" s="30"/>
      <c r="C191" s="30"/>
      <c r="D191" s="31"/>
    </row>
    <row r="192" spans="1:4">
      <c r="A192" s="30"/>
      <c r="B192" s="30"/>
      <c r="C192" s="30"/>
      <c r="D192" s="31"/>
    </row>
    <row r="193" spans="1:4">
      <c r="A193" s="30"/>
      <c r="B193" s="30"/>
      <c r="C193" s="30"/>
      <c r="D193" s="31"/>
    </row>
    <row r="194" spans="1:4">
      <c r="A194" s="30"/>
      <c r="B194" s="30"/>
      <c r="C194" s="30"/>
      <c r="D194" s="31"/>
    </row>
    <row r="195" spans="1:4">
      <c r="A195" s="30"/>
      <c r="B195" s="30"/>
      <c r="C195" s="30"/>
      <c r="D195" s="31"/>
    </row>
    <row r="196" spans="1:4">
      <c r="A196" s="30"/>
      <c r="B196" s="30"/>
      <c r="C196" s="30"/>
      <c r="D196" s="31"/>
    </row>
    <row r="197" spans="1:4">
      <c r="A197" s="30"/>
      <c r="B197" s="30"/>
      <c r="C197" s="30"/>
      <c r="D197" s="31"/>
    </row>
    <row r="198" spans="1:4">
      <c r="A198" s="30"/>
      <c r="B198" s="30"/>
      <c r="C198" s="30"/>
      <c r="D198" s="31"/>
    </row>
    <row r="199" spans="1:4">
      <c r="A199" s="30"/>
      <c r="B199" s="30"/>
      <c r="C199" s="30"/>
      <c r="D199" s="31"/>
    </row>
    <row r="200" spans="1:4">
      <c r="A200" s="30"/>
      <c r="B200" s="30"/>
      <c r="C200" s="30"/>
      <c r="D200" s="31"/>
    </row>
    <row r="201" spans="1:4">
      <c r="A201" s="30"/>
      <c r="B201" s="30"/>
      <c r="C201" s="30"/>
      <c r="D201" s="31"/>
    </row>
    <row r="202" spans="1:4">
      <c r="A202" s="30"/>
      <c r="B202" s="30"/>
      <c r="C202" s="30"/>
      <c r="D202" s="31"/>
    </row>
    <row r="203" spans="1:4">
      <c r="A203" s="30"/>
      <c r="B203" s="30"/>
      <c r="C203" s="30"/>
      <c r="D203" s="31"/>
    </row>
    <row r="204" spans="1:4">
      <c r="A204" s="30"/>
      <c r="B204" s="30"/>
      <c r="C204" s="30"/>
      <c r="D204" s="31"/>
    </row>
    <row r="205" spans="1:4">
      <c r="A205" s="30"/>
      <c r="B205" s="30"/>
      <c r="C205" s="30"/>
      <c r="D205" s="31"/>
    </row>
    <row r="206" spans="1:4">
      <c r="A206" s="30"/>
      <c r="B206" s="30"/>
      <c r="C206" s="30"/>
      <c r="D206" s="31"/>
    </row>
    <row r="207" spans="1:4">
      <c r="A207" s="30"/>
      <c r="B207" s="30"/>
      <c r="C207" s="30"/>
      <c r="D207" s="31"/>
    </row>
    <row r="208" spans="1:4">
      <c r="A208" s="30"/>
      <c r="B208" s="30"/>
      <c r="C208" s="30"/>
      <c r="D208" s="31"/>
    </row>
    <row r="209" spans="1:4">
      <c r="A209" s="30"/>
      <c r="B209" s="30"/>
      <c r="C209" s="30"/>
      <c r="D209" s="31"/>
    </row>
    <row r="210" spans="1:4">
      <c r="A210" s="30"/>
      <c r="B210" s="30"/>
      <c r="C210" s="30"/>
      <c r="D210" s="31"/>
    </row>
    <row r="211" spans="1:4">
      <c r="A211" s="30"/>
      <c r="B211" s="30"/>
      <c r="C211" s="30"/>
      <c r="D211" s="31"/>
    </row>
    <row r="212" spans="1:4">
      <c r="A212" s="30"/>
      <c r="B212" s="30"/>
      <c r="C212" s="30"/>
      <c r="D212" s="31"/>
    </row>
    <row r="213" spans="1:4">
      <c r="A213" s="30"/>
      <c r="B213" s="30"/>
      <c r="C213" s="30"/>
      <c r="D213" s="31"/>
    </row>
    <row r="214" spans="1:4">
      <c r="A214" s="30"/>
      <c r="B214" s="30"/>
      <c r="C214" s="30"/>
      <c r="D214" s="31"/>
    </row>
    <row r="215" spans="1:4">
      <c r="A215" s="30"/>
      <c r="B215" s="30"/>
      <c r="C215" s="30"/>
      <c r="D215" s="31"/>
    </row>
    <row r="216" spans="1:4">
      <c r="A216" s="30"/>
      <c r="B216" s="30"/>
      <c r="C216" s="30"/>
      <c r="D216" s="31"/>
    </row>
    <row r="217" spans="1:4">
      <c r="A217" s="30"/>
      <c r="B217" s="30"/>
      <c r="C217" s="30"/>
      <c r="D217" s="31"/>
    </row>
    <row r="218" spans="1:4">
      <c r="A218" s="30"/>
      <c r="B218" s="30"/>
      <c r="C218" s="30"/>
      <c r="D218" s="31"/>
    </row>
    <row r="219" spans="1:4">
      <c r="A219" s="30"/>
      <c r="B219" s="30"/>
      <c r="C219" s="30"/>
      <c r="D219" s="31"/>
    </row>
    <row r="220" spans="1:4">
      <c r="A220" s="30"/>
      <c r="B220" s="30"/>
      <c r="C220" s="30"/>
      <c r="D220" s="31"/>
    </row>
  </sheetData>
  <mergeCells count="2">
    <mergeCell ref="C7:G9"/>
    <mergeCell ref="C14:G16"/>
  </mergeCells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topLeftCell="B1" workbookViewId="0">
      <pane ySplit="1" topLeftCell="A2" activePane="bottomLeft" state="frozen"/>
      <selection pane="bottomLeft"/>
    </sheetView>
  </sheetViews>
  <sheetFormatPr defaultRowHeight="18.75"/>
  <cols>
    <col min="1" max="1" width="7.125" bestFit="1" customWidth="1"/>
    <col min="2" max="2" width="9.5" bestFit="1" customWidth="1"/>
    <col min="3" max="3" width="35.875" bestFit="1" customWidth="1"/>
    <col min="4" max="4" width="17.625" bestFit="1" customWidth="1"/>
    <col min="5" max="7" width="10.125" customWidth="1"/>
  </cols>
  <sheetData>
    <row r="1" spans="1:7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</row>
    <row r="2" spans="1:7">
      <c r="A2" t="s">
        <v>41</v>
      </c>
      <c r="B2" t="s">
        <v>42</v>
      </c>
      <c r="C2" t="s">
        <v>43</v>
      </c>
      <c r="D2" s="34">
        <v>18060.639959068427</v>
      </c>
      <c r="E2" s="18" t="s">
        <v>135</v>
      </c>
      <c r="F2" s="18" t="s">
        <v>136</v>
      </c>
      <c r="G2" s="18" t="s">
        <v>137</v>
      </c>
    </row>
    <row r="3" spans="1:7">
      <c r="A3" t="s">
        <v>44</v>
      </c>
      <c r="B3" t="s">
        <v>45</v>
      </c>
      <c r="C3" t="s">
        <v>46</v>
      </c>
      <c r="D3" s="34">
        <v>11258.857907097452</v>
      </c>
      <c r="E3" s="18" t="s">
        <v>138</v>
      </c>
      <c r="F3" s="18" t="s">
        <v>139</v>
      </c>
      <c r="G3" s="18" t="s">
        <v>140</v>
      </c>
    </row>
    <row r="4" spans="1:7">
      <c r="A4" t="s">
        <v>47</v>
      </c>
      <c r="B4" t="s">
        <v>48</v>
      </c>
      <c r="C4" t="s">
        <v>49</v>
      </c>
      <c r="D4" s="34">
        <v>18980.494524340913</v>
      </c>
      <c r="E4" s="18" t="s">
        <v>141</v>
      </c>
      <c r="F4" s="18" t="s">
        <v>142</v>
      </c>
      <c r="G4" s="18" t="s">
        <v>143</v>
      </c>
    </row>
    <row r="5" spans="1:7">
      <c r="A5" t="s">
        <v>50</v>
      </c>
      <c r="B5" t="s">
        <v>51</v>
      </c>
      <c r="C5" t="s">
        <v>52</v>
      </c>
      <c r="D5" s="34">
        <v>16189.247160184232</v>
      </c>
      <c r="E5" s="18" t="s">
        <v>135</v>
      </c>
      <c r="F5" s="18" t="s">
        <v>144</v>
      </c>
      <c r="G5" s="18" t="s">
        <v>145</v>
      </c>
    </row>
    <row r="6" spans="1:7">
      <c r="A6" t="s">
        <v>53</v>
      </c>
      <c r="B6" t="s">
        <v>54</v>
      </c>
      <c r="C6" t="s">
        <v>55</v>
      </c>
      <c r="D6" s="34">
        <v>22380.900836249384</v>
      </c>
      <c r="E6" s="18" t="s">
        <v>146</v>
      </c>
      <c r="F6" s="18" t="s">
        <v>147</v>
      </c>
      <c r="G6" s="18" t="s">
        <v>148</v>
      </c>
    </row>
    <row r="7" spans="1:7">
      <c r="A7" t="s">
        <v>56</v>
      </c>
      <c r="B7" t="s">
        <v>57</v>
      </c>
      <c r="C7" t="s">
        <v>58</v>
      </c>
      <c r="D7" s="34">
        <v>14993.169103602611</v>
      </c>
      <c r="E7" s="18" t="s">
        <v>149</v>
      </c>
      <c r="F7" s="18" t="s">
        <v>150</v>
      </c>
      <c r="G7" s="18" t="s">
        <v>151</v>
      </c>
    </row>
    <row r="8" spans="1:7">
      <c r="A8" t="s">
        <v>59</v>
      </c>
      <c r="B8" t="s">
        <v>60</v>
      </c>
      <c r="C8" t="s">
        <v>61</v>
      </c>
      <c r="D8" s="34">
        <v>14493.142758858427</v>
      </c>
      <c r="E8" s="18" t="s">
        <v>152</v>
      </c>
      <c r="F8" s="18" t="s">
        <v>153</v>
      </c>
      <c r="G8" s="18" t="s">
        <v>154</v>
      </c>
    </row>
    <row r="9" spans="1:7">
      <c r="A9" t="s">
        <v>62</v>
      </c>
      <c r="B9" t="s">
        <v>63</v>
      </c>
      <c r="C9" t="s">
        <v>64</v>
      </c>
      <c r="D9" s="34">
        <v>14959.069952999069</v>
      </c>
      <c r="E9" s="18" t="s">
        <v>155</v>
      </c>
      <c r="F9" s="18" t="s">
        <v>156</v>
      </c>
      <c r="G9" s="18" t="s">
        <v>157</v>
      </c>
    </row>
    <row r="10" spans="1:7">
      <c r="A10" t="s">
        <v>65</v>
      </c>
      <c r="B10" t="s">
        <v>66</v>
      </c>
      <c r="C10" t="s">
        <v>67</v>
      </c>
      <c r="D10" s="34">
        <v>14516.850823296812</v>
      </c>
      <c r="E10" s="18" t="s">
        <v>158</v>
      </c>
      <c r="F10" s="18" t="s">
        <v>159</v>
      </c>
      <c r="G10" s="18" t="s">
        <v>160</v>
      </c>
    </row>
    <row r="11" spans="1:7">
      <c r="A11" t="s">
        <v>68</v>
      </c>
      <c r="B11" t="s">
        <v>69</v>
      </c>
      <c r="C11" t="s">
        <v>70</v>
      </c>
      <c r="D11" s="34">
        <v>13468.34016052014</v>
      </c>
      <c r="E11" s="18" t="s">
        <v>161</v>
      </c>
      <c r="F11" s="18" t="s">
        <v>162</v>
      </c>
      <c r="G11" s="18" t="s">
        <v>148</v>
      </c>
    </row>
    <row r="12" spans="1:7">
      <c r="A12" t="s">
        <v>71</v>
      </c>
      <c r="B12" t="s">
        <v>72</v>
      </c>
      <c r="C12" t="s">
        <v>73</v>
      </c>
      <c r="D12" s="34">
        <v>16157.876306466298</v>
      </c>
      <c r="E12" s="18" t="s">
        <v>163</v>
      </c>
      <c r="F12" s="18" t="s">
        <v>164</v>
      </c>
      <c r="G12" s="18" t="s">
        <v>165</v>
      </c>
    </row>
    <row r="13" spans="1:7">
      <c r="A13" t="s">
        <v>74</v>
      </c>
      <c r="B13" t="s">
        <v>75</v>
      </c>
      <c r="C13" t="s">
        <v>76</v>
      </c>
      <c r="D13" s="34">
        <v>14877.773112916349</v>
      </c>
      <c r="E13" s="18" t="s">
        <v>166</v>
      </c>
      <c r="F13" s="18" t="s">
        <v>144</v>
      </c>
      <c r="G13" s="18" t="s">
        <v>167</v>
      </c>
    </row>
    <row r="14" spans="1:7">
      <c r="A14" t="s">
        <v>77</v>
      </c>
      <c r="B14" t="s">
        <v>78</v>
      </c>
      <c r="C14" t="s">
        <v>79</v>
      </c>
      <c r="D14" s="34">
        <v>14198.261952831475</v>
      </c>
      <c r="E14" s="18" t="s">
        <v>168</v>
      </c>
      <c r="F14" s="18" t="s">
        <v>162</v>
      </c>
      <c r="G14" s="18" t="s">
        <v>169</v>
      </c>
    </row>
    <row r="15" spans="1:7">
      <c r="A15" t="s">
        <v>80</v>
      </c>
      <c r="B15" t="s">
        <v>81</v>
      </c>
      <c r="C15" t="s">
        <v>82</v>
      </c>
      <c r="D15" s="34">
        <v>18465.348653660301</v>
      </c>
      <c r="E15" s="18" t="s">
        <v>170</v>
      </c>
      <c r="F15" s="18" t="s">
        <v>171</v>
      </c>
      <c r="G15" s="18" t="s">
        <v>137</v>
      </c>
    </row>
    <row r="16" spans="1:7">
      <c r="A16" t="s">
        <v>83</v>
      </c>
      <c r="B16" t="s">
        <v>84</v>
      </c>
      <c r="C16" t="s">
        <v>85</v>
      </c>
      <c r="D16" s="34">
        <v>17001.995439802329</v>
      </c>
      <c r="E16" s="18" t="s">
        <v>172</v>
      </c>
      <c r="F16" s="18" t="s">
        <v>173</v>
      </c>
      <c r="G16" s="18" t="s">
        <v>140</v>
      </c>
    </row>
    <row r="17" spans="1:7">
      <c r="A17" t="s">
        <v>86</v>
      </c>
      <c r="B17" t="s">
        <v>87</v>
      </c>
      <c r="C17" t="s">
        <v>88</v>
      </c>
      <c r="D17" s="34">
        <v>18221.012204570288</v>
      </c>
      <c r="E17" s="18" t="s">
        <v>135</v>
      </c>
      <c r="F17" s="18" t="s">
        <v>150</v>
      </c>
      <c r="G17" s="18" t="s">
        <v>174</v>
      </c>
    </row>
    <row r="18" spans="1:7">
      <c r="A18" t="s">
        <v>89</v>
      </c>
      <c r="B18" t="s">
        <v>90</v>
      </c>
      <c r="C18" t="s">
        <v>91</v>
      </c>
      <c r="D18" s="34">
        <v>18295.429577217143</v>
      </c>
      <c r="E18" s="18" t="s">
        <v>175</v>
      </c>
      <c r="F18" s="18" t="s">
        <v>176</v>
      </c>
      <c r="G18" s="18" t="s">
        <v>140</v>
      </c>
    </row>
    <row r="19" spans="1:7">
      <c r="A19" t="s">
        <v>92</v>
      </c>
      <c r="B19" t="s">
        <v>93</v>
      </c>
      <c r="C19" t="s">
        <v>94</v>
      </c>
      <c r="D19" s="34">
        <v>17079.765023441829</v>
      </c>
      <c r="E19" s="18" t="s">
        <v>177</v>
      </c>
      <c r="F19" s="18" t="s">
        <v>178</v>
      </c>
      <c r="G19" s="18" t="s">
        <v>165</v>
      </c>
    </row>
    <row r="20" spans="1:7">
      <c r="A20" t="s">
        <v>95</v>
      </c>
      <c r="B20" t="s">
        <v>96</v>
      </c>
      <c r="C20" t="s">
        <v>97</v>
      </c>
      <c r="D20" s="34">
        <v>21853.248205953409</v>
      </c>
      <c r="E20" s="18" t="s">
        <v>179</v>
      </c>
      <c r="F20" s="18" t="s">
        <v>180</v>
      </c>
      <c r="G20" s="18" t="s">
        <v>181</v>
      </c>
    </row>
    <row r="21" spans="1:7">
      <c r="A21" t="s">
        <v>98</v>
      </c>
      <c r="B21" t="s">
        <v>99</v>
      </c>
      <c r="C21" t="s">
        <v>100</v>
      </c>
      <c r="D21" s="34">
        <v>22714.515030429789</v>
      </c>
      <c r="E21" s="18" t="s">
        <v>182</v>
      </c>
      <c r="F21" s="18" t="s">
        <v>183</v>
      </c>
      <c r="G21" s="18" t="s">
        <v>184</v>
      </c>
    </row>
  </sheetData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workbookViewId="0"/>
  </sheetViews>
  <sheetFormatPr defaultRowHeight="18.75"/>
  <cols>
    <col min="1" max="1" width="9" style="2"/>
    <col min="2" max="7" width="9.875" customWidth="1"/>
  </cols>
  <sheetData>
    <row r="1" spans="1:7">
      <c r="A1" s="6" t="s">
        <v>8</v>
      </c>
    </row>
    <row r="3" spans="1:7">
      <c r="B3" s="3"/>
      <c r="C3" s="3"/>
      <c r="D3" s="3"/>
      <c r="E3" s="3"/>
      <c r="F3" s="3"/>
      <c r="G3" s="3"/>
    </row>
    <row r="4" spans="1:7">
      <c r="A4" s="5" t="s">
        <v>6</v>
      </c>
      <c r="B4" s="5" t="s">
        <v>101</v>
      </c>
      <c r="C4" s="5" t="s">
        <v>102</v>
      </c>
      <c r="D4" s="5" t="s">
        <v>3</v>
      </c>
      <c r="E4" s="5" t="s">
        <v>4</v>
      </c>
      <c r="F4" s="5" t="s">
        <v>5</v>
      </c>
      <c r="G4" s="5" t="s">
        <v>7</v>
      </c>
    </row>
    <row r="5" spans="1:7">
      <c r="A5" s="4">
        <v>1950</v>
      </c>
      <c r="B5" s="1">
        <v>76.595525526884316</v>
      </c>
      <c r="C5" s="1">
        <v>63.457493109339175</v>
      </c>
      <c r="D5" s="1">
        <v>125.69522137745119</v>
      </c>
      <c r="E5" s="1">
        <v>64.399065969233817</v>
      </c>
      <c r="F5" s="1">
        <v>69.443376126472444</v>
      </c>
      <c r="G5" s="1">
        <v>676.17533199419165</v>
      </c>
    </row>
    <row r="6" spans="1:7">
      <c r="A6" s="4">
        <v>1955</v>
      </c>
      <c r="B6" s="1">
        <v>86.283235798191924</v>
      </c>
      <c r="C6" s="1">
        <v>60.33864912787444</v>
      </c>
      <c r="D6" s="1">
        <v>134.88964735944612</v>
      </c>
      <c r="E6" s="1">
        <v>38.088695938036913</v>
      </c>
      <c r="F6" s="1">
        <v>66.534487305325953</v>
      </c>
      <c r="G6" s="1">
        <v>383.79115444795792</v>
      </c>
    </row>
    <row r="7" spans="1:7">
      <c r="A7" s="4">
        <v>1960</v>
      </c>
      <c r="B7" s="1">
        <v>99.439433826075302</v>
      </c>
      <c r="C7" s="1">
        <v>72.533216103820394</v>
      </c>
      <c r="D7" s="1">
        <v>159.17965696094117</v>
      </c>
      <c r="E7" s="1">
        <v>39.802072123403434</v>
      </c>
      <c r="F7" s="1">
        <v>57.410464717028255</v>
      </c>
      <c r="G7" s="1">
        <v>320.93191015386873</v>
      </c>
    </row>
    <row r="8" spans="1:7">
      <c r="A8" s="4">
        <v>1965</v>
      </c>
      <c r="B8" s="1">
        <v>107.38527037081272</v>
      </c>
      <c r="C8" s="1">
        <v>76.275232592739926</v>
      </c>
      <c r="D8" s="1">
        <v>174.15029020966082</v>
      </c>
      <c r="E8" s="1">
        <v>30.106097989744633</v>
      </c>
      <c r="F8" s="1">
        <v>49.483345470488267</v>
      </c>
      <c r="G8" s="1">
        <v>268.62142748001122</v>
      </c>
    </row>
    <row r="9" spans="1:7">
      <c r="A9" s="4">
        <v>1970</v>
      </c>
      <c r="B9" s="1">
        <v>114.62934503780632</v>
      </c>
      <c r="C9" s="1">
        <v>85.425743010537857</v>
      </c>
      <c r="D9" s="1">
        <v>173.23336719146047</v>
      </c>
      <c r="E9" s="1">
        <v>26.68413927303477</v>
      </c>
      <c r="F9" s="1">
        <v>37.526332422463632</v>
      </c>
      <c r="G9" s="1">
        <v>243.68469239877322</v>
      </c>
    </row>
    <row r="10" spans="1:7">
      <c r="A10" s="4">
        <v>1975</v>
      </c>
      <c r="B10" s="1">
        <v>121.83619345650405</v>
      </c>
      <c r="C10" s="1">
        <v>88.64241241148143</v>
      </c>
      <c r="D10" s="1">
        <v>155.7687654944549</v>
      </c>
      <c r="E10" s="1">
        <v>27.194119245136417</v>
      </c>
      <c r="F10" s="1">
        <v>26.725116498718869</v>
      </c>
      <c r="G10" s="1">
        <v>207.20273335157947</v>
      </c>
    </row>
    <row r="11" spans="1:7">
      <c r="A11" s="4">
        <v>1980</v>
      </c>
      <c r="B11" s="1">
        <v>138.1884954498189</v>
      </c>
      <c r="C11" s="1">
        <v>105.50536664851194</v>
      </c>
      <c r="D11" s="1">
        <v>138.66090116421611</v>
      </c>
      <c r="E11" s="1">
        <v>28.234143339135809</v>
      </c>
      <c r="F11" s="1">
        <v>27.46787222554757</v>
      </c>
      <c r="G11" s="1">
        <v>179.40311768636082</v>
      </c>
    </row>
    <row r="12" spans="1:7">
      <c r="A12" s="4">
        <v>1985</v>
      </c>
      <c r="B12" s="1">
        <v>155.07283778146461</v>
      </c>
      <c r="C12" s="1">
        <v>116.56196230676088</v>
      </c>
      <c r="D12" s="1">
        <v>111.52019915121426</v>
      </c>
      <c r="E12" s="1">
        <v>37.237010361504829</v>
      </c>
      <c r="F12" s="1">
        <v>22.969225426317919</v>
      </c>
      <c r="G12" s="1">
        <v>178.1089783012774</v>
      </c>
    </row>
    <row r="13" spans="1:7">
      <c r="A13" s="4">
        <v>1990</v>
      </c>
      <c r="B13" s="1">
        <v>175.88459463375182</v>
      </c>
      <c r="C13" s="1">
        <v>133.86978216943783</v>
      </c>
      <c r="D13" s="1">
        <v>98.651281239016214</v>
      </c>
      <c r="E13" s="1">
        <v>55.16815483183651</v>
      </c>
      <c r="F13" s="1">
        <v>19.567002389031728</v>
      </c>
      <c r="G13" s="1">
        <v>180.47641278235</v>
      </c>
    </row>
    <row r="14" spans="1:7">
      <c r="A14" s="4">
        <v>1995</v>
      </c>
      <c r="B14" s="1">
        <v>209.46204087232576</v>
      </c>
      <c r="C14" s="1">
        <v>110.85906449526267</v>
      </c>
      <c r="D14" s="1">
        <v>116.70917647163007</v>
      </c>
      <c r="E14" s="1">
        <v>63.41390778194382</v>
      </c>
      <c r="F14" s="1">
        <v>17.116315914520069</v>
      </c>
      <c r="G14" s="1">
        <v>216.80056277026009</v>
      </c>
    </row>
    <row r="15" spans="1:7">
      <c r="A15" s="4">
        <v>2000</v>
      </c>
      <c r="B15" s="1">
        <v>232.80050225862988</v>
      </c>
      <c r="C15" s="1">
        <v>115.61160164994925</v>
      </c>
      <c r="D15" s="1">
        <v>104.41451233851565</v>
      </c>
      <c r="E15" s="1">
        <v>68.495113323769687</v>
      </c>
      <c r="F15" s="1">
        <v>16.712908497286875</v>
      </c>
      <c r="G15" s="1">
        <v>219.61485022400049</v>
      </c>
    </row>
    <row r="16" spans="1:7">
      <c r="A16" s="4">
        <v>2005</v>
      </c>
      <c r="B16" s="1">
        <v>255.10379383431504</v>
      </c>
      <c r="C16" s="1">
        <v>135.49950545517683</v>
      </c>
      <c r="D16" s="1">
        <v>103.97517863511264</v>
      </c>
      <c r="E16" s="1">
        <v>83.934165860035336</v>
      </c>
      <c r="F16" s="1">
        <v>20.631144917247429</v>
      </c>
      <c r="G16" s="1">
        <v>249.10933484640918</v>
      </c>
    </row>
    <row r="17" spans="1:7">
      <c r="A17" s="4">
        <v>2010</v>
      </c>
      <c r="B17" s="1">
        <v>276.04740725858522</v>
      </c>
      <c r="C17" s="1">
        <v>147.87202534064582</v>
      </c>
      <c r="D17" s="1">
        <v>96.410708227045021</v>
      </c>
      <c r="E17" s="1">
        <v>92.839652033410786</v>
      </c>
      <c r="F17" s="1">
        <v>35.407572694459589</v>
      </c>
      <c r="G17" s="1">
        <v>286.17099625798915</v>
      </c>
    </row>
    <row r="18" spans="1:7">
      <c r="A18" s="4">
        <v>2015</v>
      </c>
      <c r="B18" s="1">
        <v>291.4062261189477</v>
      </c>
      <c r="C18" s="1">
        <v>154.31558558931764</v>
      </c>
      <c r="D18" s="1">
        <v>88.102777184060599</v>
      </c>
      <c r="E18" s="1">
        <v>95.172306297951181</v>
      </c>
      <c r="F18" s="1">
        <v>66.736826923882646</v>
      </c>
      <c r="G18" s="1">
        <v>319.65837769295655</v>
      </c>
    </row>
    <row r="19" spans="1:7">
      <c r="A19" s="4">
        <v>2020</v>
      </c>
      <c r="B19" s="1">
        <v>299.95774978344753</v>
      </c>
      <c r="C19" s="1">
        <v>162.98244783613958</v>
      </c>
      <c r="D19" s="1">
        <v>81.633915607647921</v>
      </c>
      <c r="E19" s="1">
        <v>62.189794707801468</v>
      </c>
      <c r="F19" s="1">
        <v>104.98937426515266</v>
      </c>
      <c r="G19" s="1">
        <v>376.47299739328446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1"/>
  <sheetViews>
    <sheetView workbookViewId="0">
      <pane ySplit="6" topLeftCell="A7" activePane="bottomLeft" state="frozen"/>
      <selection pane="bottomLeft"/>
    </sheetView>
  </sheetViews>
  <sheetFormatPr defaultRowHeight="18.75"/>
  <cols>
    <col min="1" max="3" width="9" style="53"/>
  </cols>
  <sheetData>
    <row r="1" spans="1:5">
      <c r="B1" s="56" t="s">
        <v>192</v>
      </c>
      <c r="C1" s="56"/>
      <c r="D1" s="57"/>
      <c r="E1" s="57"/>
    </row>
    <row r="2" spans="1:5">
      <c r="B2" s="53" t="s">
        <v>186</v>
      </c>
      <c r="D2" t="s">
        <v>187</v>
      </c>
    </row>
    <row r="3" spans="1:5">
      <c r="B3" s="55" t="s">
        <v>191</v>
      </c>
      <c r="C3" s="54"/>
      <c r="D3" s="54" t="s">
        <v>188</v>
      </c>
    </row>
    <row r="4" spans="1:5">
      <c r="B4" s="54" t="s">
        <v>190</v>
      </c>
      <c r="C4" s="54"/>
      <c r="D4" s="54" t="s">
        <v>189</v>
      </c>
    </row>
    <row r="6" spans="1:5">
      <c r="A6" s="53" t="s">
        <v>185</v>
      </c>
      <c r="B6" s="53" t="s">
        <v>103</v>
      </c>
      <c r="C6" s="53" t="s">
        <v>104</v>
      </c>
    </row>
    <row r="7" spans="1:5">
      <c r="A7" s="53">
        <v>1</v>
      </c>
      <c r="B7" s="53">
        <v>1</v>
      </c>
      <c r="C7" s="53">
        <v>1</v>
      </c>
    </row>
    <row r="8" spans="1:5">
      <c r="A8" s="53">
        <v>2</v>
      </c>
      <c r="B8" s="53">
        <v>1</v>
      </c>
      <c r="C8" s="53">
        <v>1</v>
      </c>
    </row>
    <row r="9" spans="1:5">
      <c r="A9" s="53">
        <v>3</v>
      </c>
      <c r="B9" s="53">
        <v>1</v>
      </c>
      <c r="C9" s="53">
        <v>2</v>
      </c>
    </row>
    <row r="10" spans="1:5">
      <c r="A10" s="53">
        <v>4</v>
      </c>
      <c r="B10" s="53">
        <v>1</v>
      </c>
      <c r="C10" s="53">
        <v>2</v>
      </c>
    </row>
    <row r="11" spans="1:5">
      <c r="A11" s="53">
        <v>5</v>
      </c>
      <c r="B11" s="53">
        <v>1</v>
      </c>
      <c r="C11" s="53">
        <v>2</v>
      </c>
    </row>
    <row r="12" spans="1:5">
      <c r="A12" s="53">
        <v>6</v>
      </c>
      <c r="B12" s="53">
        <v>1</v>
      </c>
      <c r="C12" s="53">
        <v>2</v>
      </c>
    </row>
    <row r="13" spans="1:5">
      <c r="A13" s="53">
        <v>7</v>
      </c>
      <c r="B13" s="53">
        <v>1</v>
      </c>
      <c r="C13" s="53">
        <v>2</v>
      </c>
    </row>
    <row r="14" spans="1:5">
      <c r="A14" s="53">
        <v>8</v>
      </c>
      <c r="B14" s="53">
        <v>1</v>
      </c>
      <c r="C14" s="53">
        <v>2</v>
      </c>
    </row>
    <row r="15" spans="1:5">
      <c r="A15" s="53">
        <v>9</v>
      </c>
      <c r="B15" s="53">
        <v>1</v>
      </c>
      <c r="C15" s="53">
        <v>2</v>
      </c>
    </row>
    <row r="16" spans="1:5">
      <c r="A16" s="53">
        <v>10</v>
      </c>
      <c r="B16" s="53">
        <v>1</v>
      </c>
      <c r="C16" s="53">
        <v>2</v>
      </c>
    </row>
    <row r="17" spans="1:3">
      <c r="A17" s="53">
        <v>11</v>
      </c>
      <c r="B17" s="53">
        <v>1</v>
      </c>
      <c r="C17" s="53">
        <v>2</v>
      </c>
    </row>
    <row r="18" spans="1:3">
      <c r="A18" s="53">
        <v>12</v>
      </c>
      <c r="B18" s="53">
        <v>1</v>
      </c>
      <c r="C18" s="53">
        <v>2</v>
      </c>
    </row>
    <row r="19" spans="1:3">
      <c r="A19" s="53">
        <v>13</v>
      </c>
      <c r="B19" s="53">
        <v>1</v>
      </c>
      <c r="C19" s="53">
        <v>2</v>
      </c>
    </row>
    <row r="20" spans="1:3">
      <c r="A20" s="53">
        <v>14</v>
      </c>
      <c r="B20" s="53">
        <v>1</v>
      </c>
      <c r="C20" s="53">
        <v>2</v>
      </c>
    </row>
    <row r="21" spans="1:3">
      <c r="A21" s="53">
        <v>15</v>
      </c>
      <c r="B21" s="53">
        <v>1</v>
      </c>
      <c r="C21" s="53">
        <v>2</v>
      </c>
    </row>
    <row r="22" spans="1:3">
      <c r="A22" s="53">
        <v>16</v>
      </c>
      <c r="B22" s="53">
        <v>2</v>
      </c>
      <c r="C22" s="53">
        <v>1</v>
      </c>
    </row>
    <row r="23" spans="1:3">
      <c r="A23" s="53">
        <v>17</v>
      </c>
      <c r="B23" s="53">
        <v>2</v>
      </c>
      <c r="C23" s="53">
        <v>1</v>
      </c>
    </row>
    <row r="24" spans="1:3">
      <c r="A24" s="53">
        <v>18</v>
      </c>
      <c r="B24" s="53">
        <v>2</v>
      </c>
      <c r="C24" s="53">
        <v>1</v>
      </c>
    </row>
    <row r="25" spans="1:3">
      <c r="A25" s="53">
        <v>19</v>
      </c>
      <c r="B25" s="53">
        <v>2</v>
      </c>
      <c r="C25" s="53">
        <v>1</v>
      </c>
    </row>
    <row r="26" spans="1:3">
      <c r="A26" s="53">
        <v>20</v>
      </c>
      <c r="B26" s="53">
        <v>2</v>
      </c>
      <c r="C26" s="53">
        <v>1</v>
      </c>
    </row>
    <row r="27" spans="1:3">
      <c r="A27" s="53">
        <v>21</v>
      </c>
      <c r="B27" s="53">
        <v>2</v>
      </c>
      <c r="C27" s="53">
        <v>1</v>
      </c>
    </row>
    <row r="28" spans="1:3">
      <c r="A28" s="53">
        <v>22</v>
      </c>
      <c r="B28" s="53">
        <v>2</v>
      </c>
      <c r="C28" s="53">
        <v>2</v>
      </c>
    </row>
    <row r="29" spans="1:3">
      <c r="A29" s="53">
        <v>23</v>
      </c>
      <c r="B29" s="53">
        <v>2</v>
      </c>
      <c r="C29" s="53">
        <v>2</v>
      </c>
    </row>
    <row r="30" spans="1:3">
      <c r="A30" s="53">
        <v>24</v>
      </c>
      <c r="B30" s="53">
        <v>2</v>
      </c>
      <c r="C30" s="53">
        <v>2</v>
      </c>
    </row>
    <row r="31" spans="1:3">
      <c r="A31" s="53">
        <v>25</v>
      </c>
      <c r="B31" s="53">
        <v>2</v>
      </c>
      <c r="C31" s="53">
        <v>2</v>
      </c>
    </row>
  </sheetData>
  <sortState xmlns:xlrd2="http://schemas.microsoft.com/office/spreadsheetml/2017/richdata2" ref="A5:C29">
    <sortCondition ref="B5:B29"/>
    <sortCondition ref="C5:C29"/>
  </sortState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1)割合の信頼区間</vt:lpstr>
      <vt:lpstr>2)1標本の平均値の検定（母平均値の信頼区間）</vt:lpstr>
      <vt:lpstr>3)対応のある場合の平均値の差の検定</vt:lpstr>
      <vt:lpstr>4)2群の割合の差の検定（クロス表の独立性の検定）</vt:lpstr>
      <vt:lpstr>5)対応のない場合の平均値の差の検定（t検定）</vt:lpstr>
      <vt:lpstr>差し込み印刷データ</vt:lpstr>
      <vt:lpstr>グラフのアニメーション用</vt:lpstr>
      <vt:lpstr>【演習課題データ】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佐伯圭一郎</dc:creator>
  <cp:lastModifiedBy>Oita-NHS y-okada</cp:lastModifiedBy>
  <dcterms:created xsi:type="dcterms:W3CDTF">2015-06-05T18:19:34Z</dcterms:created>
  <dcterms:modified xsi:type="dcterms:W3CDTF">2026-09-27T03:04:33Z</dcterms:modified>
</cp:coreProperties>
</file>