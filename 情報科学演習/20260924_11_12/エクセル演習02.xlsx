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oitanhs-my.sharepoint.com/personal/y-okada_oita-nhs_ac_jp/Documents/講義資料/非常勤/別府青山看護学校/情報科学演習/20260924_11_12/"/>
    </mc:Choice>
  </mc:AlternateContent>
  <xr:revisionPtr revIDLastSave="1" documentId="13_ncr:1_{92DE7613-B8DF-4E90-973E-41E474531B74}" xr6:coauthVersionLast="47" xr6:coauthVersionMax="47" xr10:uidLastSave="{AC3A7969-84E8-E449-9AF4-F342D70C95BA}"/>
  <bookViews>
    <workbookView xWindow="10520" yWindow="2900" windowWidth="21680" windowHeight="14320" activeTab="1" xr2:uid="{00000000-000D-0000-FFFF-FFFF00000000}"/>
  </bookViews>
  <sheets>
    <sheet name="グラフ練習" sheetId="6" r:id="rId1"/>
    <sheet name="絶対参照" sheetId="7" r:id="rId2"/>
    <sheet name="主要死因の推移" sheetId="2" r:id="rId3"/>
    <sheet name="記述統計演習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H3" i="5" s="1"/>
  <c r="G4" i="5"/>
  <c r="H4" i="5"/>
  <c r="G5" i="5"/>
  <c r="H5" i="5" s="1"/>
  <c r="G6" i="5"/>
  <c r="H6" i="5"/>
  <c r="G7" i="5"/>
  <c r="H7" i="5" s="1"/>
  <c r="G8" i="5"/>
  <c r="H8" i="5"/>
  <c r="G9" i="5"/>
  <c r="H9" i="5" s="1"/>
  <c r="G10" i="5"/>
  <c r="H10" i="5"/>
  <c r="G11" i="5"/>
  <c r="H11" i="5" s="1"/>
  <c r="G12" i="5"/>
  <c r="H12" i="5"/>
  <c r="G13" i="5"/>
  <c r="H13" i="5" s="1"/>
  <c r="G14" i="5"/>
  <c r="H14" i="5"/>
  <c r="G15" i="5"/>
  <c r="H15" i="5" s="1"/>
  <c r="G16" i="5"/>
  <c r="H16" i="5"/>
  <c r="G17" i="5"/>
  <c r="H17" i="5" s="1"/>
  <c r="G18" i="5"/>
  <c r="H18" i="5"/>
  <c r="G19" i="5"/>
  <c r="H19" i="5" s="1"/>
  <c r="G20" i="5"/>
  <c r="H20" i="5"/>
  <c r="G21" i="5"/>
  <c r="H21" i="5" s="1"/>
  <c r="G22" i="5"/>
  <c r="H22" i="5"/>
  <c r="G23" i="5"/>
  <c r="H23" i="5" s="1"/>
  <c r="G24" i="5"/>
  <c r="H24" i="5"/>
  <c r="G25" i="5"/>
  <c r="H25" i="5" s="1"/>
  <c r="G26" i="5"/>
  <c r="H26" i="5"/>
  <c r="G27" i="5"/>
  <c r="H27" i="5" s="1"/>
  <c r="G28" i="5"/>
  <c r="H28" i="5"/>
  <c r="G29" i="5"/>
  <c r="H29" i="5" s="1"/>
  <c r="G30" i="5"/>
  <c r="H30" i="5"/>
  <c r="G31" i="5"/>
  <c r="H31" i="5" s="1"/>
  <c r="G32" i="5"/>
  <c r="H32" i="5"/>
  <c r="G33" i="5"/>
  <c r="H33" i="5" s="1"/>
  <c r="G34" i="5"/>
  <c r="H34" i="5"/>
  <c r="G35" i="5"/>
  <c r="H35" i="5" s="1"/>
  <c r="G36" i="5"/>
  <c r="H36" i="5"/>
  <c r="G37" i="5"/>
  <c r="H37" i="5" s="1"/>
  <c r="G38" i="5"/>
  <c r="H38" i="5"/>
  <c r="G39" i="5"/>
  <c r="H39" i="5" s="1"/>
  <c r="G40" i="5"/>
  <c r="H40" i="5"/>
  <c r="G41" i="5"/>
  <c r="H41" i="5" s="1"/>
  <c r="G42" i="5"/>
  <c r="H42" i="5"/>
  <c r="G43" i="5"/>
  <c r="H43" i="5" s="1"/>
  <c r="G44" i="5"/>
  <c r="H44" i="5"/>
  <c r="G45" i="5"/>
  <c r="H45" i="5" s="1"/>
  <c r="G46" i="5"/>
  <c r="H46" i="5"/>
  <c r="G47" i="5"/>
  <c r="H47" i="5" s="1"/>
  <c r="G48" i="5"/>
  <c r="H48" i="5"/>
  <c r="G49" i="5"/>
  <c r="H49" i="5" s="1"/>
  <c r="G50" i="5"/>
  <c r="H50" i="5"/>
  <c r="G51" i="5"/>
  <c r="H51" i="5" s="1"/>
  <c r="G52" i="5"/>
  <c r="H52" i="5"/>
  <c r="G53" i="5"/>
  <c r="H53" i="5" s="1"/>
  <c r="G54" i="5"/>
  <c r="H54" i="5"/>
  <c r="G55" i="5"/>
  <c r="H55" i="5" s="1"/>
  <c r="G56" i="5"/>
  <c r="H56" i="5"/>
  <c r="G57" i="5"/>
  <c r="H57" i="5" s="1"/>
  <c r="G58" i="5"/>
  <c r="H58" i="5"/>
  <c r="G59" i="5"/>
  <c r="H59" i="5" s="1"/>
  <c r="G60" i="5"/>
  <c r="H60" i="5"/>
  <c r="G61" i="5"/>
  <c r="H61" i="5" s="1"/>
  <c r="G62" i="5"/>
  <c r="H62" i="5"/>
  <c r="G63" i="5"/>
  <c r="H63" i="5" s="1"/>
  <c r="G64" i="5"/>
  <c r="H64" i="5"/>
  <c r="G65" i="5"/>
  <c r="H65" i="5" s="1"/>
  <c r="G66" i="5"/>
  <c r="H66" i="5"/>
  <c r="G67" i="5"/>
  <c r="H67" i="5" s="1"/>
  <c r="G68" i="5"/>
  <c r="H68" i="5"/>
  <c r="G69" i="5"/>
  <c r="H69" i="5" s="1"/>
  <c r="G70" i="5"/>
  <c r="H70" i="5"/>
  <c r="G71" i="5"/>
  <c r="H71" i="5" s="1"/>
  <c r="G72" i="5"/>
  <c r="H72" i="5"/>
  <c r="G73" i="5"/>
  <c r="H73" i="5" s="1"/>
  <c r="G74" i="5"/>
  <c r="H74" i="5"/>
  <c r="G75" i="5"/>
  <c r="H75" i="5" s="1"/>
  <c r="G76" i="5"/>
  <c r="H76" i="5"/>
  <c r="G77" i="5"/>
  <c r="H77" i="5" s="1"/>
  <c r="G78" i="5"/>
  <c r="H78" i="5"/>
  <c r="G79" i="5"/>
  <c r="H79" i="5" s="1"/>
  <c r="G80" i="5"/>
  <c r="H80" i="5"/>
  <c r="G81" i="5"/>
  <c r="H81" i="5" s="1"/>
  <c r="G82" i="5"/>
  <c r="H82" i="5"/>
  <c r="G83" i="5"/>
  <c r="H83" i="5" s="1"/>
  <c r="G84" i="5"/>
  <c r="H84" i="5"/>
  <c r="G85" i="5"/>
  <c r="H85" i="5" s="1"/>
  <c r="G86" i="5"/>
  <c r="H86" i="5"/>
  <c r="G87" i="5"/>
  <c r="H87" i="5" s="1"/>
  <c r="G88" i="5"/>
  <c r="H88" i="5"/>
  <c r="G89" i="5"/>
  <c r="H89" i="5" s="1"/>
  <c r="G90" i="5"/>
  <c r="H90" i="5"/>
  <c r="G91" i="5"/>
  <c r="H91" i="5" s="1"/>
  <c r="G92" i="5"/>
  <c r="H92" i="5"/>
  <c r="G93" i="5"/>
  <c r="H93" i="5" s="1"/>
  <c r="G94" i="5"/>
  <c r="H94" i="5"/>
  <c r="G95" i="5"/>
  <c r="H95" i="5" s="1"/>
  <c r="G96" i="5"/>
  <c r="H96" i="5"/>
  <c r="G97" i="5"/>
  <c r="H97" i="5" s="1"/>
  <c r="G98" i="5"/>
  <c r="H98" i="5"/>
  <c r="G99" i="5"/>
  <c r="H99" i="5" s="1"/>
  <c r="G100" i="5"/>
  <c r="H100" i="5"/>
  <c r="G101" i="5"/>
  <c r="H101" i="5" s="1"/>
  <c r="G2" i="5"/>
  <c r="H2" i="5" s="1"/>
  <c r="C13" i="7" l="1"/>
  <c r="D3" i="7" s="1"/>
  <c r="L15" i="7"/>
</calcChain>
</file>

<file path=xl/sharedStrings.xml><?xml version="1.0" encoding="utf-8"?>
<sst xmlns="http://schemas.openxmlformats.org/spreadsheetml/2006/main" count="100" uniqueCount="74">
  <si>
    <t>ID</t>
    <phoneticPr fontId="3"/>
  </si>
  <si>
    <t>年齢（歳）</t>
    <rPh sb="0" eb="2">
      <t>ネンレイ</t>
    </rPh>
    <rPh sb="3" eb="4">
      <t>サイ</t>
    </rPh>
    <phoneticPr fontId="4"/>
  </si>
  <si>
    <t>身長(cm)</t>
    <phoneticPr fontId="3"/>
  </si>
  <si>
    <t>体重(Kg)</t>
    <phoneticPr fontId="3"/>
  </si>
  <si>
    <t>最高血圧(mmHg)</t>
    <rPh sb="0" eb="2">
      <t>サイコウ</t>
    </rPh>
    <rPh sb="2" eb="4">
      <t>ケツアツ</t>
    </rPh>
    <phoneticPr fontId="4"/>
  </si>
  <si>
    <t>最低血圧(mmHg)</t>
    <rPh sb="0" eb="2">
      <t>サイテイ</t>
    </rPh>
    <rPh sb="2" eb="4">
      <t>ケツアツ</t>
    </rPh>
    <phoneticPr fontId="4"/>
  </si>
  <si>
    <t>BMI</t>
    <phoneticPr fontId="3"/>
  </si>
  <si>
    <t>BMI判定</t>
    <rPh sb="3" eb="5">
      <t>ハンテイ</t>
    </rPh>
    <phoneticPr fontId="3"/>
  </si>
  <si>
    <t>高血圧
判定</t>
    <rPh sb="0" eb="3">
      <t>コウケツアツ</t>
    </rPh>
    <rPh sb="4" eb="6">
      <t>ハンテイ</t>
    </rPh>
    <phoneticPr fontId="3"/>
  </si>
  <si>
    <t>平均値</t>
    <rPh sb="0" eb="3">
      <t>ヘイキンチ</t>
    </rPh>
    <phoneticPr fontId="3"/>
  </si>
  <si>
    <t>標準偏差</t>
    <rPh sb="0" eb="2">
      <t>ヒョウジュン</t>
    </rPh>
    <rPh sb="2" eb="4">
      <t>ヘンサ</t>
    </rPh>
    <phoneticPr fontId="3"/>
  </si>
  <si>
    <t>最大値</t>
    <rPh sb="0" eb="3">
      <t>サイダイチ</t>
    </rPh>
    <phoneticPr fontId="3"/>
  </si>
  <si>
    <t>最小値</t>
    <rPh sb="0" eb="3">
      <t>サイショウチ</t>
    </rPh>
    <phoneticPr fontId="3"/>
  </si>
  <si>
    <t>中央値</t>
    <rPh sb="0" eb="2">
      <t>チュウオウ</t>
    </rPh>
    <rPh sb="2" eb="3">
      <t>チ</t>
    </rPh>
    <phoneticPr fontId="3"/>
  </si>
  <si>
    <t>脳血管疾患</t>
  </si>
  <si>
    <t>肺炎</t>
  </si>
  <si>
    <t>老衰</t>
  </si>
  <si>
    <t>死亡数</t>
  </si>
  <si>
    <t>年</t>
    <rPh sb="0" eb="1">
      <t>ネン</t>
    </rPh>
    <phoneticPr fontId="2"/>
  </si>
  <si>
    <t>人口</t>
    <rPh sb="0" eb="2">
      <t>ジンコウ</t>
    </rPh>
    <phoneticPr fontId="2"/>
  </si>
  <si>
    <t>心疾患</t>
    <phoneticPr fontId="2"/>
  </si>
  <si>
    <t>悪性新生物</t>
    <phoneticPr fontId="2"/>
  </si>
  <si>
    <t>総数</t>
    <phoneticPr fontId="2"/>
  </si>
  <si>
    <t>①円グラフ</t>
    <rPh sb="1" eb="2">
      <t>エン</t>
    </rPh>
    <phoneticPr fontId="2"/>
  </si>
  <si>
    <t>データ：部位別にみた悪性新生物死亡数（女性：2015）</t>
    <rPh sb="4" eb="7">
      <t>ブイベツ</t>
    </rPh>
    <rPh sb="10" eb="12">
      <t>アクセイ</t>
    </rPh>
    <rPh sb="12" eb="15">
      <t>シンセイブツ</t>
    </rPh>
    <rPh sb="15" eb="18">
      <t>シボウスウ</t>
    </rPh>
    <rPh sb="19" eb="21">
      <t>ジョセイ</t>
    </rPh>
    <phoneticPr fontId="4"/>
  </si>
  <si>
    <t>死亡数</t>
    <rPh sb="0" eb="3">
      <t>シボウスウ</t>
    </rPh>
    <phoneticPr fontId="4"/>
  </si>
  <si>
    <t>胃</t>
    <rPh sb="0" eb="1">
      <t>イ</t>
    </rPh>
    <phoneticPr fontId="4"/>
  </si>
  <si>
    <t>肝</t>
    <rPh sb="0" eb="1">
      <t>キモ</t>
    </rPh>
    <phoneticPr fontId="4"/>
  </si>
  <si>
    <t>膵</t>
    <rPh sb="0" eb="1">
      <t>スイ</t>
    </rPh>
    <phoneticPr fontId="4"/>
  </si>
  <si>
    <t>肺</t>
    <rPh sb="0" eb="1">
      <t>ハイ</t>
    </rPh>
    <phoneticPr fontId="4"/>
  </si>
  <si>
    <t>大腸</t>
    <rPh sb="0" eb="2">
      <t>ダイチョウ</t>
    </rPh>
    <phoneticPr fontId="4"/>
  </si>
  <si>
    <t>乳房</t>
    <rPh sb="0" eb="2">
      <t>ニュウボウ</t>
    </rPh>
    <phoneticPr fontId="4"/>
  </si>
  <si>
    <t>子宮</t>
    <rPh sb="0" eb="2">
      <t>シキュウ</t>
    </rPh>
    <phoneticPr fontId="4"/>
  </si>
  <si>
    <t>その他</t>
    <rPh sb="2" eb="3">
      <t>タ</t>
    </rPh>
    <phoneticPr fontId="4"/>
  </si>
  <si>
    <t>計</t>
    <rPh sb="0" eb="1">
      <t>ケイ</t>
    </rPh>
    <phoneticPr fontId="4"/>
  </si>
  <si>
    <t>②帯グラフ</t>
    <rPh sb="1" eb="2">
      <t>オビ</t>
    </rPh>
    <phoneticPr fontId="4"/>
  </si>
  <si>
    <t>データ：性・部位別にみた悪性新生物死亡数（2015）</t>
    <rPh sb="4" eb="5">
      <t>セイ</t>
    </rPh>
    <rPh sb="6" eb="9">
      <t>ブイベツ</t>
    </rPh>
    <rPh sb="12" eb="14">
      <t>アクセイ</t>
    </rPh>
    <rPh sb="14" eb="17">
      <t>シンセイブツ</t>
    </rPh>
    <rPh sb="17" eb="20">
      <t>シボウスウ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</si>
  <si>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</si>
  <si>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</si>
  <si>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③散布図（散布図）</t>
    <rPh sb="1" eb="4">
      <t>サンプズ</t>
    </rPh>
    <rPh sb="5" eb="8">
      <t>サンプズ</t>
    </rPh>
    <phoneticPr fontId="2"/>
  </si>
  <si>
    <t>ID</t>
    <phoneticPr fontId="4"/>
  </si>
  <si>
    <t>身長(cm)</t>
  </si>
  <si>
    <t>体重(Kg)</t>
  </si>
  <si>
    <t>④散布図（X軸が数値軸のパターン）</t>
    <rPh sb="1" eb="4">
      <t>サンプズ</t>
    </rPh>
    <rPh sb="6" eb="7">
      <t>ジク</t>
    </rPh>
    <rPh sb="8" eb="11">
      <t>スウチジク</t>
    </rPh>
    <phoneticPr fontId="4"/>
  </si>
  <si>
    <t>肺炎と脳血管疾患死亡率（人口10万対）の年次推移</t>
    <rPh sb="0" eb="2">
      <t>ハイエン</t>
    </rPh>
    <rPh sb="3" eb="6">
      <t>ノウケッカン</t>
    </rPh>
    <rPh sb="6" eb="8">
      <t>シッカン</t>
    </rPh>
    <rPh sb="8" eb="11">
      <t>シボウリツ</t>
    </rPh>
    <rPh sb="12" eb="14">
      <t>ジンコウ</t>
    </rPh>
    <rPh sb="16" eb="17">
      <t>マン</t>
    </rPh>
    <rPh sb="17" eb="18">
      <t>タイ</t>
    </rPh>
    <rPh sb="20" eb="22">
      <t>ネンジ</t>
    </rPh>
    <rPh sb="22" eb="24">
      <t>スイイ</t>
    </rPh>
    <phoneticPr fontId="4"/>
  </si>
  <si>
    <t>死亡率（人口10万対）</t>
    <rPh sb="0" eb="3">
      <t>シボウリツ</t>
    </rPh>
    <rPh sb="4" eb="6">
      <t>ジンコウ</t>
    </rPh>
    <rPh sb="8" eb="9">
      <t>マン</t>
    </rPh>
    <rPh sb="9" eb="10">
      <t>タイ</t>
    </rPh>
    <phoneticPr fontId="4"/>
  </si>
  <si>
    <t>肺炎</t>
    <rPh sb="0" eb="2">
      <t>ハイエン</t>
    </rPh>
    <phoneticPr fontId="4"/>
  </si>
  <si>
    <t>脳血管疾患</t>
    <rPh sb="0" eb="3">
      <t>ノウケッカン</t>
    </rPh>
    <rPh sb="3" eb="5">
      <t>シッカン</t>
    </rPh>
    <phoneticPr fontId="4"/>
  </si>
  <si>
    <t>【見本】</t>
    <rPh sb="1" eb="3">
      <t>ミホン</t>
    </rPh>
    <phoneticPr fontId="2"/>
  </si>
  <si>
    <t>その他</t>
    <rPh sb="2" eb="3">
      <t>タ</t>
    </rPh>
    <phoneticPr fontId="2"/>
  </si>
  <si>
    <t>死亡率（人口10万対）</t>
    <rPh sb="2" eb="3">
      <t>リツ</t>
    </rPh>
    <rPh sb="4" eb="6">
      <t>ジンコウ</t>
    </rPh>
    <rPh sb="8" eb="9">
      <t>マン</t>
    </rPh>
    <rPh sb="9" eb="10">
      <t>タイ</t>
    </rPh>
    <phoneticPr fontId="2"/>
  </si>
  <si>
    <t>総死亡に占める割合（%）</t>
    <rPh sb="0" eb="1">
      <t>ソウ</t>
    </rPh>
    <rPh sb="1" eb="3">
      <t>シボウ</t>
    </rPh>
    <rPh sb="4" eb="5">
      <t>シ</t>
    </rPh>
    <rPh sb="7" eb="9">
      <t>ワリアイ</t>
    </rPh>
    <phoneticPr fontId="2"/>
  </si>
  <si>
    <t>・グラフは以下のスペースに</t>
    <rPh sb="5" eb="7">
      <t>イカ</t>
    </rPh>
    <phoneticPr fontId="2"/>
  </si>
  <si>
    <t>　わが国における主要死因による死亡数の推移（男女計）　出典：e-stat，人口動態統計</t>
    <rPh sb="3" eb="4">
      <t>クニ</t>
    </rPh>
    <rPh sb="8" eb="12">
      <t>シュヨウシイン</t>
    </rPh>
    <rPh sb="15" eb="18">
      <t>シボウスウ</t>
    </rPh>
    <rPh sb="19" eb="21">
      <t>スイイ</t>
    </rPh>
    <rPh sb="22" eb="25">
      <t>ダンジョケイ</t>
    </rPh>
    <rPh sb="27" eb="29">
      <t>シュッテン</t>
    </rPh>
    <rPh sb="37" eb="39">
      <t>ジンコウ</t>
    </rPh>
    <rPh sb="39" eb="41">
      <t>ドウタイ</t>
    </rPh>
    <rPh sb="41" eb="43">
      <t>トウケイ</t>
    </rPh>
    <phoneticPr fontId="2"/>
  </si>
  <si>
    <t>130～140</t>
    <phoneticPr fontId="2"/>
  </si>
  <si>
    <t>140～150</t>
    <phoneticPr fontId="2"/>
  </si>
  <si>
    <t>150～160</t>
    <phoneticPr fontId="2"/>
  </si>
  <si>
    <t>160～170</t>
    <phoneticPr fontId="2"/>
  </si>
  <si>
    <t>170～180</t>
    <phoneticPr fontId="2"/>
  </si>
  <si>
    <t>180～190</t>
    <phoneticPr fontId="2"/>
  </si>
  <si>
    <t>190～200</t>
    <phoneticPr fontId="2"/>
  </si>
  <si>
    <t>200～210</t>
    <phoneticPr fontId="2"/>
  </si>
  <si>
    <t>210～220</t>
    <phoneticPr fontId="2"/>
  </si>
  <si>
    <t>220以上</t>
    <rPh sb="3" eb="5">
      <t>イジョウ</t>
    </rPh>
    <phoneticPr fontId="2"/>
  </si>
  <si>
    <t>度数（人）</t>
    <rPh sb="0" eb="2">
      <t>ドスウ</t>
    </rPh>
    <rPh sb="3" eb="4">
      <t>ニン</t>
    </rPh>
    <phoneticPr fontId="2"/>
  </si>
  <si>
    <t>血液型</t>
    <rPh sb="0" eb="3">
      <t>ケツエキガタ</t>
    </rPh>
    <phoneticPr fontId="2"/>
  </si>
  <si>
    <t>A</t>
    <phoneticPr fontId="2"/>
  </si>
  <si>
    <t>B</t>
    <phoneticPr fontId="2"/>
  </si>
  <si>
    <t>O</t>
    <phoneticPr fontId="2"/>
  </si>
  <si>
    <t>AB</t>
    <phoneticPr fontId="2"/>
  </si>
  <si>
    <t>計</t>
    <rPh sb="0" eb="1">
      <t>ケイ</t>
    </rPh>
    <phoneticPr fontId="2"/>
  </si>
  <si>
    <t>相対度数（%）</t>
    <rPh sb="0" eb="2">
      <t>ソウタイ</t>
    </rPh>
    <rPh sb="2" eb="4">
      <t>ドスウ</t>
    </rPh>
    <phoneticPr fontId="2"/>
  </si>
  <si>
    <t>血清総コレステロール値
（mg/dL）</t>
    <rPh sb="0" eb="2">
      <t>ケッセイ</t>
    </rPh>
    <rPh sb="2" eb="3">
      <t>ソウ</t>
    </rPh>
    <rPh sb="10" eb="11">
      <t>チ</t>
    </rPh>
    <phoneticPr fontId="2"/>
  </si>
  <si>
    <t>↓おおよそこの下に作図</t>
    <rPh sb="7" eb="8">
      <t>シタ</t>
    </rPh>
    <rPh sb="9" eb="11">
      <t>サクズ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</si>
</sst>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_ "/>
    <numFmt numFmtId="178" formatCode="#,##0_ "/>
    <numFmt numFmtId="179" formatCode="#,##0.0_ "/>
    <numFmt numFmtId="180" formatCode="0_);[Red]\(0\)"/>
    <numFmt numFmtId="181" formatCode="0.0_);[Red]\(0.0\)"/>
    <numFmt numFmtId="182" formatCode="0.0%"/>
  </numFmts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標準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Yu Gothic"/>
      <family val="2"/>
      <scheme val="minor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/>
    <xf numFmtId="0" fontId="6" fillId="0" borderId="0"/>
  </cellStyleXfs>
  <cellXfs count="36">
    <xf numFmtId="0" fontId="0" fillId="0" borderId="0" xfId="0"/>
    <xf numFmtId="0" fontId="1" fillId="0" borderId="0" xfId="1" applyAlignment="1"/>
    <xf numFmtId="176" fontId="1" fillId="0" borderId="0" xfId="1" applyNumberFormat="1" applyAlignment="1"/>
    <xf numFmtId="177" fontId="1" fillId="0" borderId="0" xfId="1" applyNumberFormat="1" applyAlignment="1"/>
    <xf numFmtId="0" fontId="1" fillId="0" borderId="0" xfId="1" applyAlignment="1">
      <alignment horizontal="center"/>
    </xf>
    <xf numFmtId="178" fontId="0" fillId="0" borderId="0" xfId="0" applyNumberFormat="1"/>
    <xf numFmtId="0" fontId="6" fillId="0" borderId="0" xfId="3"/>
    <xf numFmtId="178" fontId="0" fillId="0" borderId="1" xfId="0" applyNumberFormat="1" applyBorder="1"/>
    <xf numFmtId="178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Continuous"/>
    </xf>
    <xf numFmtId="178" fontId="0" fillId="0" borderId="2" xfId="0" applyNumberFormat="1" applyBorder="1" applyAlignment="1">
      <alignment horizontal="center"/>
    </xf>
    <xf numFmtId="179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178" fontId="0" fillId="0" borderId="2" xfId="0" applyNumberForma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Continuous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82" fontId="0" fillId="0" borderId="1" xfId="0" applyNumberFormat="1" applyBorder="1"/>
    <xf numFmtId="0" fontId="0" fillId="0" borderId="0" xfId="0" applyAlignment="1">
      <alignment horizontal="left"/>
    </xf>
    <xf numFmtId="0" fontId="1" fillId="3" borderId="0" xfId="1" applyFill="1" applyAlignment="1">
      <alignment horizontal="center" vertical="center"/>
    </xf>
    <xf numFmtId="0" fontId="1" fillId="3" borderId="0" xfId="1" quotePrefix="1" applyFill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176" fontId="1" fillId="3" borderId="0" xfId="1" applyNumberFormat="1" applyFill="1" applyAlignment="1"/>
    <xf numFmtId="0" fontId="1" fillId="0" borderId="1" xfId="1" applyBorder="1" applyAlignment="1"/>
    <xf numFmtId="176" fontId="1" fillId="4" borderId="1" xfId="1" applyNumberFormat="1" applyFill="1" applyBorder="1" applyAlignmen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/>
    <xf numFmtId="182" fontId="0" fillId="4" borderId="1" xfId="0" applyNumberFormat="1" applyFill="1" applyBorder="1"/>
    <xf numFmtId="0" fontId="0" fillId="4" borderId="1" xfId="0" applyFill="1" applyBorder="1"/>
    <xf numFmtId="181" fontId="1" fillId="4" borderId="1" xfId="1" applyNumberFormat="1" applyFill="1" applyBorder="1" applyAlignment="1"/>
    <xf numFmtId="177" fontId="1" fillId="4" borderId="1" xfId="1" applyNumberFormat="1" applyFill="1" applyBorder="1" applyAlignment="1"/>
    <xf numFmtId="0" fontId="7" fillId="0" borderId="1" xfId="0" applyFont="1" applyBorder="1" applyAlignment="1">
      <alignment horizontal="center" vertical="center" wrapText="1"/>
    </xf>
    <xf numFmtId="0" fontId="8" fillId="0" borderId="0" xfId="3" applyFont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209550</xdr:rowOff>
    </xdr:from>
    <xdr:to>
      <xdr:col>5</xdr:col>
      <xdr:colOff>580168</xdr:colOff>
      <xdr:row>13</xdr:row>
      <xdr:rowOff>219075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57250"/>
          <a:ext cx="3780568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35</xdr:row>
      <xdr:rowOff>190500</xdr:rowOff>
    </xdr:from>
    <xdr:to>
      <xdr:col>5</xdr:col>
      <xdr:colOff>495300</xdr:colOff>
      <xdr:row>49</xdr:row>
      <xdr:rowOff>95250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258175"/>
          <a:ext cx="3705225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55</xdr:row>
      <xdr:rowOff>71438</xdr:rowOff>
    </xdr:from>
    <xdr:to>
      <xdr:col>6</xdr:col>
      <xdr:colOff>409575</xdr:colOff>
      <xdr:row>67</xdr:row>
      <xdr:rowOff>157163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739688"/>
          <a:ext cx="4457700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47624</xdr:colOff>
      <xdr:row>18</xdr:row>
      <xdr:rowOff>166686</xdr:rowOff>
    </xdr:from>
    <xdr:to>
      <xdr:col>6</xdr:col>
      <xdr:colOff>342899</xdr:colOff>
      <xdr:row>29</xdr:row>
      <xdr:rowOff>80961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4" y="4381499"/>
          <a:ext cx="4438650" cy="253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74"/>
  <sheetViews>
    <sheetView topLeftCell="A47" zoomScale="84" zoomScaleNormal="80" workbookViewId="0">
      <selection activeCell="I28" sqref="I28"/>
    </sheetView>
  </sheetViews>
  <sheetFormatPr baseColWidth="10" defaultColWidth="9" defaultRowHeight="14"/>
  <cols>
    <col min="1" max="16384" width="9" style="6"/>
  </cols>
  <sheetData>
    <row r="2" spans="2:14" ht="17">
      <c r="G2" t="s">
        <v>23</v>
      </c>
      <c r="H2"/>
      <c r="I2"/>
      <c r="J2"/>
      <c r="K2"/>
      <c r="L2"/>
      <c r="M2"/>
      <c r="N2" s="35" t="s">
        <v>73</v>
      </c>
    </row>
    <row r="3" spans="2:14" ht="17">
      <c r="B3" s="6" t="s">
        <v>48</v>
      </c>
      <c r="G3"/>
      <c r="H3" s="5" t="s">
        <v>24</v>
      </c>
      <c r="I3" s="5"/>
      <c r="J3" s="5"/>
      <c r="K3" s="5"/>
      <c r="L3" s="5"/>
      <c r="M3" s="5"/>
    </row>
    <row r="4" spans="2:14" ht="17">
      <c r="G4"/>
      <c r="H4" s="5"/>
      <c r="I4" s="5"/>
      <c r="J4" s="5"/>
      <c r="K4" s="5"/>
      <c r="L4" s="5"/>
      <c r="M4" s="5"/>
    </row>
    <row r="5" spans="2:14" ht="17">
      <c r="G5"/>
      <c r="H5" s="7"/>
      <c r="I5" s="8" t="s">
        <v>25</v>
      </c>
      <c r="J5" s="5"/>
      <c r="K5" s="5"/>
      <c r="L5" s="5"/>
      <c r="M5" s="5"/>
    </row>
    <row r="6" spans="2:14" ht="17">
      <c r="G6"/>
      <c r="H6" s="8" t="s">
        <v>26</v>
      </c>
      <c r="I6" s="7">
        <v>15870</v>
      </c>
      <c r="J6" s="5"/>
      <c r="K6" s="5"/>
      <c r="L6" s="5"/>
      <c r="M6" s="5"/>
    </row>
    <row r="7" spans="2:14" ht="17">
      <c r="G7"/>
      <c r="H7" s="8" t="s">
        <v>27</v>
      </c>
      <c r="I7" s="7">
        <v>9881</v>
      </c>
      <c r="J7" s="5"/>
      <c r="K7" s="5"/>
      <c r="L7" s="5"/>
      <c r="M7" s="5"/>
    </row>
    <row r="8" spans="2:14" ht="17">
      <c r="G8"/>
      <c r="H8" s="8" t="s">
        <v>28</v>
      </c>
      <c r="I8" s="7">
        <v>15680</v>
      </c>
      <c r="J8" s="5"/>
      <c r="K8" s="5"/>
      <c r="L8" s="5"/>
      <c r="M8" s="5"/>
    </row>
    <row r="9" spans="2:14" ht="17">
      <c r="G9"/>
      <c r="H9" s="8" t="s">
        <v>29</v>
      </c>
      <c r="I9" s="7">
        <v>21170</v>
      </c>
      <c r="J9" s="5"/>
      <c r="K9" s="5"/>
      <c r="L9" s="5"/>
      <c r="M9" s="5"/>
    </row>
    <row r="10" spans="2:14" ht="17">
      <c r="G10"/>
      <c r="H10" s="8" t="s">
        <v>30</v>
      </c>
      <c r="I10" s="7">
        <v>22881</v>
      </c>
      <c r="J10" s="5"/>
      <c r="K10" s="5"/>
      <c r="L10" s="5"/>
      <c r="M10" s="5"/>
    </row>
    <row r="11" spans="2:14" ht="17">
      <c r="G11"/>
      <c r="H11" s="8" t="s">
        <v>31</v>
      </c>
      <c r="I11" s="7">
        <v>13584</v>
      </c>
      <c r="J11" s="5"/>
      <c r="K11" s="5"/>
      <c r="L11" s="5"/>
      <c r="M11" s="5"/>
    </row>
    <row r="12" spans="2:14" ht="17">
      <c r="G12"/>
      <c r="H12" s="8" t="s">
        <v>32</v>
      </c>
      <c r="I12" s="7">
        <v>6429</v>
      </c>
      <c r="J12" s="5"/>
      <c r="K12" s="5"/>
      <c r="L12" s="5"/>
      <c r="M12" s="5"/>
    </row>
    <row r="13" spans="2:14" ht="17">
      <c r="G13"/>
      <c r="H13" s="8" t="s">
        <v>33</v>
      </c>
      <c r="I13" s="7">
        <v>45343</v>
      </c>
      <c r="J13" s="5"/>
      <c r="K13" s="5"/>
      <c r="L13" s="5"/>
      <c r="M13" s="5"/>
    </row>
    <row r="14" spans="2:14" ht="17">
      <c r="G14"/>
      <c r="H14" s="8" t="s">
        <v>34</v>
      </c>
      <c r="I14" s="7">
        <v>150838</v>
      </c>
      <c r="J14" s="5"/>
      <c r="K14" s="5"/>
      <c r="L14" s="5"/>
      <c r="M14" s="5"/>
    </row>
    <row r="15" spans="2:14" ht="17">
      <c r="G15"/>
      <c r="H15" s="5"/>
      <c r="I15" s="5"/>
      <c r="J15" s="5"/>
      <c r="K15" s="5"/>
      <c r="L15" s="5"/>
      <c r="M15" s="5"/>
    </row>
    <row r="16" spans="2:14" ht="17">
      <c r="G16"/>
      <c r="H16" s="5"/>
      <c r="I16" s="5"/>
      <c r="J16" s="5"/>
      <c r="K16" s="5"/>
      <c r="L16" s="5"/>
      <c r="M16" s="5"/>
    </row>
    <row r="17" spans="7:13" ht="17">
      <c r="G17" t="s">
        <v>35</v>
      </c>
      <c r="H17" s="5"/>
      <c r="I17" s="5"/>
      <c r="J17" s="5"/>
      <c r="K17" s="5"/>
      <c r="L17" s="5"/>
      <c r="M17" s="5"/>
    </row>
    <row r="18" spans="7:13" ht="17">
      <c r="G18"/>
      <c r="H18" s="5" t="s">
        <v>36</v>
      </c>
      <c r="I18" s="5"/>
      <c r="J18" s="5"/>
      <c r="K18" s="5"/>
      <c r="L18" s="5"/>
      <c r="M18" s="5"/>
    </row>
    <row r="19" spans="7:13" ht="17">
      <c r="G19"/>
      <c r="H19" s="5"/>
      <c r="I19" s="5"/>
      <c r="J19" s="5"/>
      <c r="K19" s="5"/>
      <c r="L19" s="5"/>
      <c r="M19" s="5"/>
    </row>
    <row r="20" spans="7:13" ht="17">
      <c r="G20"/>
      <c r="H20" s="5"/>
      <c r="I20" s="9" t="s">
        <v>25</v>
      </c>
      <c r="J20" s="9"/>
      <c r="K20" s="5"/>
      <c r="L20" s="5"/>
      <c r="M20" s="5"/>
    </row>
    <row r="21" spans="7:13" ht="17">
      <c r="G21"/>
      <c r="H21" s="10"/>
      <c r="I21" s="8" t="s">
        <v>37</v>
      </c>
      <c r="J21" s="8" t="s">
        <v>38</v>
      </c>
      <c r="K21" s="5"/>
      <c r="L21" s="5"/>
      <c r="M21" s="5"/>
    </row>
    <row r="22" spans="7:13" ht="17">
      <c r="G22"/>
      <c r="H22" s="8" t="s">
        <v>26</v>
      </c>
      <c r="I22" s="7">
        <v>30809</v>
      </c>
      <c r="J22" s="7">
        <v>15870</v>
      </c>
      <c r="K22" s="5"/>
      <c r="L22" s="5"/>
      <c r="M22" s="5"/>
    </row>
    <row r="23" spans="7:13" ht="17">
      <c r="G23"/>
      <c r="H23" s="8" t="s">
        <v>27</v>
      </c>
      <c r="I23" s="7">
        <v>19008</v>
      </c>
      <c r="J23" s="7">
        <v>9881</v>
      </c>
      <c r="K23" s="5"/>
      <c r="L23" s="5"/>
      <c r="M23" s="5"/>
    </row>
    <row r="24" spans="7:13" ht="17">
      <c r="G24"/>
      <c r="H24" s="8" t="s">
        <v>28</v>
      </c>
      <c r="I24" s="7">
        <v>16186</v>
      </c>
      <c r="J24" s="7">
        <v>15680</v>
      </c>
      <c r="K24" s="5"/>
      <c r="L24" s="5"/>
      <c r="M24" s="5"/>
    </row>
    <row r="25" spans="7:13" ht="17">
      <c r="G25"/>
      <c r="H25" s="8" t="s">
        <v>29</v>
      </c>
      <c r="I25" s="7">
        <v>53208</v>
      </c>
      <c r="J25" s="7">
        <v>21170</v>
      </c>
      <c r="K25" s="5"/>
      <c r="L25" s="5"/>
      <c r="M25" s="5"/>
    </row>
    <row r="26" spans="7:13" ht="17">
      <c r="G26"/>
      <c r="H26" s="8" t="s">
        <v>30</v>
      </c>
      <c r="I26" s="7">
        <v>26818</v>
      </c>
      <c r="J26" s="7">
        <v>22881</v>
      </c>
      <c r="K26" s="5"/>
      <c r="L26" s="5"/>
      <c r="M26" s="5"/>
    </row>
    <row r="27" spans="7:13" ht="17">
      <c r="G27"/>
      <c r="H27" s="8" t="s">
        <v>31</v>
      </c>
      <c r="I27" s="7"/>
      <c r="J27" s="7">
        <v>13584</v>
      </c>
      <c r="K27" s="5"/>
      <c r="L27" s="5"/>
      <c r="M27" s="5"/>
    </row>
    <row r="28" spans="7:13" ht="17">
      <c r="G28"/>
      <c r="H28" s="8" t="s">
        <v>32</v>
      </c>
      <c r="I28" s="7"/>
      <c r="J28" s="7">
        <v>6429</v>
      </c>
      <c r="K28" s="5"/>
      <c r="L28" s="5"/>
      <c r="M28" s="5"/>
    </row>
    <row r="29" spans="7:13" ht="17">
      <c r="G29"/>
      <c r="H29" s="8" t="s">
        <v>33</v>
      </c>
      <c r="I29" s="7">
        <v>73479</v>
      </c>
      <c r="J29" s="7">
        <v>45343</v>
      </c>
      <c r="K29" s="5"/>
      <c r="L29" s="5"/>
      <c r="M29" s="5"/>
    </row>
    <row r="30" spans="7:13" ht="17">
      <c r="G30"/>
      <c r="H30" s="8" t="s">
        <v>34</v>
      </c>
      <c r="I30" s="7">
        <v>219508</v>
      </c>
      <c r="J30" s="7">
        <v>150838</v>
      </c>
      <c r="K30" s="5"/>
      <c r="L30" s="5"/>
      <c r="M30" s="5"/>
    </row>
    <row r="34" spans="7:13" ht="17">
      <c r="G34" t="s">
        <v>39</v>
      </c>
      <c r="H34"/>
      <c r="I34"/>
      <c r="J34"/>
      <c r="K34"/>
      <c r="L34"/>
      <c r="M34"/>
    </row>
    <row r="35" spans="7:13" ht="17">
      <c r="G35"/>
      <c r="H35" s="5"/>
      <c r="I35" s="5"/>
      <c r="J35" s="5"/>
      <c r="K35" s="5"/>
      <c r="L35" s="5"/>
      <c r="M35" s="5"/>
    </row>
    <row r="36" spans="7:13" ht="17">
      <c r="G36"/>
      <c r="H36" s="5"/>
      <c r="I36" s="5"/>
      <c r="J36" s="5"/>
      <c r="K36" s="5"/>
      <c r="L36" s="5"/>
      <c r="M36" s="5"/>
    </row>
    <row r="37" spans="7:13" ht="17">
      <c r="G37"/>
      <c r="H37" s="8" t="s">
        <v>40</v>
      </c>
      <c r="I37" s="8" t="s">
        <v>41</v>
      </c>
      <c r="J37" s="8" t="s">
        <v>42</v>
      </c>
      <c r="K37" s="5"/>
      <c r="L37" s="5"/>
      <c r="M37" s="5"/>
    </row>
    <row r="38" spans="7:13" ht="17">
      <c r="G38"/>
      <c r="H38" s="8">
        <v>1</v>
      </c>
      <c r="I38" s="11">
        <v>136.19999999999999</v>
      </c>
      <c r="J38" s="11">
        <v>30.2</v>
      </c>
      <c r="K38" s="5"/>
      <c r="L38" s="5"/>
      <c r="M38" s="5"/>
    </row>
    <row r="39" spans="7:13" ht="17">
      <c r="G39"/>
      <c r="H39" s="8">
        <v>2</v>
      </c>
      <c r="I39" s="11">
        <v>154</v>
      </c>
      <c r="J39" s="11">
        <v>55.2</v>
      </c>
      <c r="K39" s="5"/>
      <c r="L39" s="5"/>
      <c r="M39" s="5"/>
    </row>
    <row r="40" spans="7:13" ht="17">
      <c r="G40"/>
      <c r="H40" s="8">
        <v>3</v>
      </c>
      <c r="I40" s="11">
        <v>145.69999999999999</v>
      </c>
      <c r="J40" s="11">
        <v>52.4</v>
      </c>
      <c r="K40" s="5"/>
      <c r="L40" s="5"/>
      <c r="M40" s="5"/>
    </row>
    <row r="41" spans="7:13" ht="17">
      <c r="G41"/>
      <c r="H41" s="8">
        <v>4</v>
      </c>
      <c r="I41" s="11">
        <v>141</v>
      </c>
      <c r="J41" s="11">
        <v>44</v>
      </c>
      <c r="K41" s="5"/>
      <c r="L41" s="5"/>
      <c r="M41" s="5"/>
    </row>
    <row r="42" spans="7:13" ht="17">
      <c r="G42"/>
      <c r="H42" s="8">
        <v>5</v>
      </c>
      <c r="I42" s="11">
        <v>153.6</v>
      </c>
      <c r="J42" s="11">
        <v>48.4</v>
      </c>
      <c r="K42" s="5"/>
      <c r="L42" s="5"/>
      <c r="M42" s="5"/>
    </row>
    <row r="43" spans="7:13" ht="17">
      <c r="G43"/>
      <c r="H43" s="8">
        <v>6</v>
      </c>
      <c r="I43" s="11">
        <v>140.5</v>
      </c>
      <c r="J43" s="11">
        <v>53</v>
      </c>
      <c r="K43" s="5"/>
      <c r="L43" s="5"/>
      <c r="M43" s="5"/>
    </row>
    <row r="44" spans="7:13" ht="17">
      <c r="G44"/>
      <c r="H44" s="8">
        <v>7</v>
      </c>
      <c r="I44" s="11">
        <v>160.69999999999999</v>
      </c>
      <c r="J44" s="11">
        <v>56.6</v>
      </c>
      <c r="K44" s="5"/>
      <c r="L44" s="5"/>
      <c r="M44" s="5"/>
    </row>
    <row r="45" spans="7:13" ht="17">
      <c r="G45"/>
      <c r="H45" s="8">
        <v>8</v>
      </c>
      <c r="I45" s="11">
        <v>149.30000000000001</v>
      </c>
      <c r="J45" s="11">
        <v>52.6</v>
      </c>
      <c r="K45" s="5"/>
      <c r="L45" s="5"/>
      <c r="M45" s="5"/>
    </row>
    <row r="46" spans="7:13" ht="17">
      <c r="G46"/>
      <c r="H46" s="8">
        <v>9</v>
      </c>
      <c r="I46" s="11">
        <v>165.1</v>
      </c>
      <c r="J46" s="11">
        <v>62.2</v>
      </c>
      <c r="K46" s="5"/>
      <c r="L46" s="5"/>
      <c r="M46" s="5"/>
    </row>
    <row r="47" spans="7:13" ht="17">
      <c r="G47"/>
      <c r="H47" s="8">
        <v>10</v>
      </c>
      <c r="I47" s="11">
        <v>153.30000000000001</v>
      </c>
      <c r="J47" s="11">
        <v>65.2</v>
      </c>
      <c r="K47" s="5"/>
      <c r="L47" s="5"/>
      <c r="M47" s="5"/>
    </row>
    <row r="48" spans="7:13" ht="17">
      <c r="G48"/>
      <c r="H48" s="8">
        <v>11</v>
      </c>
      <c r="I48" s="11">
        <v>153.19999999999999</v>
      </c>
      <c r="J48" s="11">
        <v>58.8</v>
      </c>
      <c r="K48" s="5"/>
      <c r="L48" s="5"/>
      <c r="M48" s="5"/>
    </row>
    <row r="49" spans="7:13" ht="17">
      <c r="G49"/>
      <c r="H49" s="8">
        <v>12</v>
      </c>
      <c r="I49" s="11">
        <v>148.19999999999999</v>
      </c>
      <c r="J49" s="11">
        <v>55.6</v>
      </c>
      <c r="K49" s="5"/>
      <c r="L49" s="5"/>
      <c r="M49" s="5"/>
    </row>
    <row r="52" spans="7:13" ht="17">
      <c r="G52"/>
      <c r="H52"/>
      <c r="I52"/>
      <c r="J52"/>
      <c r="K52"/>
      <c r="L52"/>
      <c r="M52"/>
    </row>
    <row r="53" spans="7:13" ht="17">
      <c r="G53" t="s">
        <v>43</v>
      </c>
      <c r="H53" s="5"/>
      <c r="I53" s="5"/>
      <c r="J53" s="5"/>
      <c r="K53" s="5"/>
      <c r="L53" s="5"/>
      <c r="M53" s="5"/>
    </row>
    <row r="54" spans="7:13" ht="17">
      <c r="G54"/>
      <c r="H54" s="5"/>
      <c r="I54" s="5"/>
      <c r="J54" s="5"/>
      <c r="K54" s="5"/>
      <c r="L54" s="5"/>
      <c r="M54" s="5"/>
    </row>
    <row r="55" spans="7:13" ht="17">
      <c r="G55"/>
      <c r="H55" s="5" t="s">
        <v>44</v>
      </c>
      <c r="I55" s="5"/>
      <c r="J55" s="5"/>
      <c r="K55" s="5"/>
      <c r="L55" s="5"/>
      <c r="M55" s="5"/>
    </row>
    <row r="56" spans="7:13" ht="17">
      <c r="G56"/>
      <c r="H56" s="5"/>
      <c r="I56" s="5"/>
      <c r="J56" s="5"/>
      <c r="K56" s="5"/>
      <c r="L56" s="5"/>
      <c r="M56" s="5"/>
    </row>
    <row r="57" spans="7:13" ht="17">
      <c r="G57"/>
      <c r="H57" s="5"/>
      <c r="I57" s="7" t="s">
        <v>45</v>
      </c>
      <c r="J57" s="7"/>
      <c r="K57" s="5"/>
      <c r="L57" s="5"/>
      <c r="M57" s="5"/>
    </row>
    <row r="58" spans="7:13" ht="17">
      <c r="G58"/>
      <c r="H58" s="14"/>
      <c r="I58" s="8" t="s">
        <v>46</v>
      </c>
      <c r="J58" s="8" t="s">
        <v>47</v>
      </c>
      <c r="K58" s="5"/>
      <c r="L58" s="5"/>
      <c r="M58" s="5"/>
    </row>
    <row r="59" spans="7:13" ht="17">
      <c r="G59"/>
      <c r="H59" s="12">
        <v>1950</v>
      </c>
      <c r="I59" s="13">
        <v>65.099999999999994</v>
      </c>
      <c r="J59" s="13">
        <v>127.1</v>
      </c>
      <c r="K59"/>
      <c r="L59"/>
      <c r="M59"/>
    </row>
    <row r="60" spans="7:13" ht="17">
      <c r="G60"/>
      <c r="H60" s="12">
        <v>1960</v>
      </c>
      <c r="I60" s="13">
        <v>40.200000000000003</v>
      </c>
      <c r="J60" s="13">
        <v>160.69999999999999</v>
      </c>
      <c r="K60" s="5"/>
      <c r="L60" s="5"/>
      <c r="M60" s="5"/>
    </row>
    <row r="61" spans="7:13" ht="17">
      <c r="G61"/>
      <c r="H61" s="12">
        <v>1970</v>
      </c>
      <c r="I61" s="13">
        <v>27.1</v>
      </c>
      <c r="J61" s="13">
        <v>175.8</v>
      </c>
      <c r="K61" s="5"/>
      <c r="L61" s="5"/>
      <c r="M61" s="5"/>
    </row>
    <row r="62" spans="7:13" ht="17">
      <c r="G62"/>
      <c r="H62" s="12">
        <v>1980</v>
      </c>
      <c r="I62" s="13">
        <v>28.4</v>
      </c>
      <c r="J62" s="13">
        <v>139.5</v>
      </c>
      <c r="K62" s="5"/>
      <c r="L62" s="5"/>
      <c r="M62" s="5"/>
    </row>
    <row r="63" spans="7:13" ht="17">
      <c r="G63"/>
      <c r="H63" s="12">
        <v>1990</v>
      </c>
      <c r="I63" s="13">
        <v>55.6</v>
      </c>
      <c r="J63" s="13">
        <v>99.4</v>
      </c>
      <c r="K63" s="5"/>
      <c r="L63" s="5"/>
      <c r="M63" s="5"/>
    </row>
    <row r="64" spans="7:13" ht="17">
      <c r="G64"/>
      <c r="H64" s="12">
        <v>2000</v>
      </c>
      <c r="I64" s="13">
        <v>69.2</v>
      </c>
      <c r="J64" s="13">
        <v>105.5</v>
      </c>
      <c r="K64" s="5"/>
      <c r="L64" s="5"/>
      <c r="M64" s="5"/>
    </row>
    <row r="65" spans="7:13" ht="17">
      <c r="G65"/>
      <c r="H65" s="12">
        <v>2010</v>
      </c>
      <c r="I65" s="13">
        <v>94.1</v>
      </c>
      <c r="J65" s="13">
        <v>97.7</v>
      </c>
      <c r="K65" s="5"/>
      <c r="L65" s="5"/>
      <c r="M65" s="5"/>
    </row>
    <row r="66" spans="7:13" ht="17">
      <c r="G66"/>
      <c r="H66" s="12">
        <v>2014</v>
      </c>
      <c r="I66" s="13">
        <v>95.4</v>
      </c>
      <c r="J66" s="13">
        <v>91.1</v>
      </c>
      <c r="K66" s="5"/>
      <c r="L66" s="5"/>
      <c r="M66" s="5"/>
    </row>
    <row r="67" spans="7:13" ht="17">
      <c r="G67"/>
      <c r="H67" s="12">
        <v>2015</v>
      </c>
      <c r="I67" s="13">
        <v>96.5</v>
      </c>
      <c r="J67" s="13">
        <v>89.4</v>
      </c>
      <c r="K67" s="5"/>
      <c r="L67" s="5"/>
      <c r="M67" s="5"/>
    </row>
    <row r="68" spans="7:13" ht="17">
      <c r="G68"/>
      <c r="H68" s="12">
        <v>2016</v>
      </c>
      <c r="I68" s="13">
        <v>95.3</v>
      </c>
      <c r="J68" s="13">
        <v>87.4</v>
      </c>
      <c r="K68" s="5"/>
      <c r="L68" s="5"/>
      <c r="M68" s="5"/>
    </row>
    <row r="69" spans="7:13" ht="17">
      <c r="G69"/>
      <c r="H69" s="5"/>
      <c r="I69" s="5"/>
      <c r="J69" s="5"/>
      <c r="K69" s="5"/>
      <c r="L69" s="5"/>
      <c r="M69" s="5"/>
    </row>
    <row r="70" spans="7:13" ht="17">
      <c r="G70"/>
      <c r="H70" s="5"/>
      <c r="I70" s="5"/>
      <c r="J70" s="5"/>
      <c r="K70" s="5"/>
      <c r="L70" s="5"/>
      <c r="M70" s="5"/>
    </row>
    <row r="71" spans="7:13" ht="17">
      <c r="G71"/>
      <c r="H71" s="5"/>
      <c r="I71" s="5"/>
      <c r="J71" s="5"/>
      <c r="K71" s="5"/>
      <c r="L71" s="5"/>
      <c r="M71" s="5"/>
    </row>
    <row r="72" spans="7:13" ht="17">
      <c r="G72"/>
      <c r="H72" s="5"/>
      <c r="I72" s="5"/>
      <c r="J72" s="5"/>
      <c r="K72" s="5"/>
      <c r="L72" s="5"/>
      <c r="M72" s="5"/>
    </row>
    <row r="73" spans="7:13" ht="17">
      <c r="G73"/>
      <c r="H73" s="5"/>
      <c r="I73" s="5"/>
      <c r="J73" s="5"/>
      <c r="K73" s="5"/>
      <c r="L73" s="5"/>
      <c r="M73" s="5"/>
    </row>
    <row r="74" spans="7:13" ht="17">
      <c r="G74"/>
      <c r="H74" s="5"/>
      <c r="I74" s="5"/>
      <c r="J74" s="5"/>
      <c r="K74" s="5"/>
      <c r="L74" s="5"/>
      <c r="M74" s="5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6"/>
  <sheetViews>
    <sheetView tabSelected="1" workbookViewId="0">
      <selection activeCell="G14" sqref="G14"/>
    </sheetView>
  </sheetViews>
  <sheetFormatPr baseColWidth="10" defaultColWidth="8.83203125" defaultRowHeight="17"/>
  <cols>
    <col min="2" max="2" width="19.83203125" customWidth="1"/>
    <col min="3" max="3" width="11" bestFit="1" customWidth="1"/>
    <col min="4" max="4" width="14.1640625" customWidth="1"/>
    <col min="5" max="6" width="5.6640625" customWidth="1"/>
    <col min="7" max="7" width="14.6640625" bestFit="1" customWidth="1"/>
  </cols>
  <sheetData>
    <row r="2" spans="2:12" ht="36">
      <c r="B2" s="34" t="s">
        <v>72</v>
      </c>
      <c r="C2" s="27" t="s">
        <v>64</v>
      </c>
      <c r="D2" s="27" t="s">
        <v>71</v>
      </c>
    </row>
    <row r="3" spans="2:12">
      <c r="B3" s="17" t="s">
        <v>54</v>
      </c>
      <c r="C3" s="29">
        <v>1</v>
      </c>
      <c r="D3" s="30">
        <f>C3/C13</f>
        <v>0.02</v>
      </c>
    </row>
    <row r="4" spans="2:12">
      <c r="B4" s="17" t="s">
        <v>55</v>
      </c>
      <c r="C4" s="29">
        <v>9</v>
      </c>
      <c r="D4" s="31"/>
    </row>
    <row r="5" spans="2:12">
      <c r="B5" s="17" t="s">
        <v>56</v>
      </c>
      <c r="C5" s="29">
        <v>7</v>
      </c>
      <c r="D5" s="31"/>
    </row>
    <row r="6" spans="2:12">
      <c r="B6" s="17" t="s">
        <v>57</v>
      </c>
      <c r="C6" s="29">
        <v>12</v>
      </c>
      <c r="D6" s="31"/>
    </row>
    <row r="7" spans="2:12">
      <c r="B7" s="17" t="s">
        <v>58</v>
      </c>
      <c r="C7" s="29">
        <v>8</v>
      </c>
      <c r="D7" s="31"/>
    </row>
    <row r="8" spans="2:12">
      <c r="B8" s="17" t="s">
        <v>59</v>
      </c>
      <c r="C8" s="29">
        <v>3</v>
      </c>
      <c r="D8" s="31"/>
    </row>
    <row r="9" spans="2:12">
      <c r="B9" s="17" t="s">
        <v>60</v>
      </c>
      <c r="C9" s="29">
        <v>3</v>
      </c>
      <c r="D9" s="31"/>
    </row>
    <row r="10" spans="2:12">
      <c r="B10" s="17" t="s">
        <v>61</v>
      </c>
      <c r="C10" s="29">
        <v>3</v>
      </c>
      <c r="D10" s="31"/>
    </row>
    <row r="11" spans="2:12">
      <c r="B11" s="17" t="s">
        <v>62</v>
      </c>
      <c r="C11" s="29">
        <v>2</v>
      </c>
      <c r="D11" s="31"/>
    </row>
    <row r="12" spans="2:12">
      <c r="B12" s="17" t="s">
        <v>63</v>
      </c>
      <c r="C12" s="29">
        <v>2</v>
      </c>
      <c r="D12" s="31"/>
    </row>
    <row r="13" spans="2:12">
      <c r="B13" s="17" t="s">
        <v>70</v>
      </c>
      <c r="C13" s="29">
        <f>SUM(C3:C12)</f>
        <v>50</v>
      </c>
      <c r="D13" s="31"/>
    </row>
    <row r="14" spans="2:12">
      <c r="G14" s="27" t="s">
        <v>65</v>
      </c>
      <c r="H14" s="27" t="s">
        <v>66</v>
      </c>
      <c r="I14" s="27" t="s">
        <v>67</v>
      </c>
      <c r="J14" s="27" t="s">
        <v>68</v>
      </c>
      <c r="K14" s="27" t="s">
        <v>69</v>
      </c>
      <c r="L14" s="27" t="s">
        <v>70</v>
      </c>
    </row>
    <row r="15" spans="2:12">
      <c r="G15" s="27" t="s">
        <v>64</v>
      </c>
      <c r="H15" s="27">
        <v>7</v>
      </c>
      <c r="I15" s="27">
        <v>4</v>
      </c>
      <c r="J15" s="27">
        <v>6</v>
      </c>
      <c r="K15" s="27">
        <v>3</v>
      </c>
      <c r="L15" s="27">
        <f>SUM(H15:K15)</f>
        <v>20</v>
      </c>
    </row>
    <row r="16" spans="2:12">
      <c r="G16" s="27" t="s">
        <v>71</v>
      </c>
      <c r="H16" s="28"/>
      <c r="I16" s="28"/>
      <c r="J16" s="28"/>
      <c r="K16" s="28"/>
      <c r="L16" s="28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baseColWidth="10" defaultColWidth="8.83203125" defaultRowHeight="17"/>
  <cols>
    <col min="1" max="1" width="9" style="15"/>
    <col min="2" max="2" width="12.1640625" bestFit="1" customWidth="1"/>
    <col min="3" max="9" width="9.6640625" customWidth="1"/>
    <col min="10" max="10" width="4.83203125" customWidth="1"/>
    <col min="11" max="17" width="9.83203125" customWidth="1"/>
    <col min="18" max="18" width="4.83203125" customWidth="1"/>
    <col min="19" max="24" width="9.83203125" customWidth="1"/>
  </cols>
  <sheetData>
    <row r="1" spans="1:24">
      <c r="A1" s="20" t="s">
        <v>53</v>
      </c>
    </row>
    <row r="3" spans="1:24">
      <c r="C3" s="16" t="s">
        <v>17</v>
      </c>
      <c r="D3" s="16"/>
      <c r="E3" s="16"/>
      <c r="F3" s="16"/>
      <c r="G3" s="16"/>
      <c r="H3" s="16"/>
      <c r="I3" s="16"/>
      <c r="K3" s="16" t="s">
        <v>50</v>
      </c>
      <c r="L3" s="16"/>
      <c r="M3" s="16"/>
      <c r="N3" s="16"/>
      <c r="O3" s="16"/>
      <c r="P3" s="16"/>
      <c r="Q3" s="16"/>
      <c r="S3" s="16" t="s">
        <v>51</v>
      </c>
      <c r="T3" s="16"/>
      <c r="U3" s="16"/>
      <c r="V3" s="16"/>
      <c r="W3" s="16"/>
      <c r="X3" s="16"/>
    </row>
    <row r="4" spans="1:24">
      <c r="A4" s="18" t="s">
        <v>18</v>
      </c>
      <c r="B4" s="18" t="s">
        <v>19</v>
      </c>
      <c r="C4" s="18" t="s">
        <v>22</v>
      </c>
      <c r="D4" s="18" t="s">
        <v>21</v>
      </c>
      <c r="E4" s="18" t="s">
        <v>20</v>
      </c>
      <c r="F4" s="18" t="s">
        <v>14</v>
      </c>
      <c r="G4" s="18" t="s">
        <v>15</v>
      </c>
      <c r="H4" s="18" t="s">
        <v>16</v>
      </c>
      <c r="I4" s="18" t="s">
        <v>49</v>
      </c>
      <c r="K4" s="18" t="s">
        <v>22</v>
      </c>
      <c r="L4" s="18" t="s">
        <v>21</v>
      </c>
      <c r="M4" s="18" t="s">
        <v>20</v>
      </c>
      <c r="N4" s="18" t="s">
        <v>14</v>
      </c>
      <c r="O4" s="18" t="s">
        <v>15</v>
      </c>
      <c r="P4" s="18" t="s">
        <v>16</v>
      </c>
      <c r="Q4" s="18" t="s">
        <v>49</v>
      </c>
      <c r="S4" s="18" t="s">
        <v>21</v>
      </c>
      <c r="T4" s="18" t="s">
        <v>20</v>
      </c>
      <c r="U4" s="18" t="s">
        <v>14</v>
      </c>
      <c r="V4" s="18" t="s">
        <v>15</v>
      </c>
      <c r="W4" s="18" t="s">
        <v>16</v>
      </c>
      <c r="X4" s="18" t="s">
        <v>49</v>
      </c>
    </row>
    <row r="5" spans="1:24">
      <c r="A5" s="17">
        <v>1950</v>
      </c>
      <c r="B5" s="7">
        <v>84114574</v>
      </c>
      <c r="C5" s="7">
        <v>904876</v>
      </c>
      <c r="D5" s="7">
        <v>64428</v>
      </c>
      <c r="E5" s="7">
        <v>53377</v>
      </c>
      <c r="F5" s="7">
        <v>105728</v>
      </c>
      <c r="G5" s="7">
        <v>54169</v>
      </c>
      <c r="H5" s="7">
        <v>58412</v>
      </c>
      <c r="I5" s="7"/>
      <c r="K5" s="7"/>
      <c r="L5" s="7"/>
      <c r="M5" s="7"/>
      <c r="N5" s="7"/>
      <c r="O5" s="7"/>
      <c r="P5" s="7"/>
      <c r="Q5" s="7"/>
      <c r="S5" s="19"/>
      <c r="T5" s="19"/>
      <c r="U5" s="19"/>
      <c r="V5" s="19"/>
      <c r="W5" s="19"/>
      <c r="X5" s="19"/>
    </row>
    <row r="6" spans="1:24">
      <c r="A6" s="17">
        <v>1955</v>
      </c>
      <c r="B6" s="7">
        <v>90076594</v>
      </c>
      <c r="C6" s="7">
        <v>693523</v>
      </c>
      <c r="D6" s="7">
        <v>77721</v>
      </c>
      <c r="E6" s="7">
        <v>54351</v>
      </c>
      <c r="F6" s="7">
        <v>121504</v>
      </c>
      <c r="G6" s="7">
        <v>34309</v>
      </c>
      <c r="H6" s="7">
        <v>59932</v>
      </c>
      <c r="I6" s="7"/>
      <c r="K6" s="7"/>
      <c r="L6" s="7"/>
      <c r="M6" s="7"/>
      <c r="N6" s="7"/>
      <c r="O6" s="7"/>
      <c r="P6" s="7"/>
      <c r="Q6" s="7"/>
      <c r="S6" s="19"/>
      <c r="T6" s="19"/>
      <c r="U6" s="19"/>
      <c r="V6" s="19"/>
      <c r="W6" s="19"/>
      <c r="X6" s="19"/>
    </row>
    <row r="7" spans="1:24">
      <c r="A7" s="17">
        <v>1960</v>
      </c>
      <c r="B7" s="7">
        <v>94301623</v>
      </c>
      <c r="C7" s="7">
        <v>706599</v>
      </c>
      <c r="D7" s="7">
        <v>93773</v>
      </c>
      <c r="E7" s="7">
        <v>68400</v>
      </c>
      <c r="F7" s="7">
        <v>150109</v>
      </c>
      <c r="G7" s="7">
        <v>37534</v>
      </c>
      <c r="H7" s="7">
        <v>54139</v>
      </c>
      <c r="I7" s="7"/>
      <c r="K7" s="7"/>
      <c r="L7" s="7"/>
      <c r="M7" s="7"/>
      <c r="N7" s="7"/>
      <c r="O7" s="7"/>
      <c r="P7" s="7"/>
      <c r="Q7" s="7"/>
      <c r="S7" s="19"/>
      <c r="T7" s="19"/>
      <c r="U7" s="19"/>
      <c r="V7" s="19"/>
      <c r="W7" s="19"/>
      <c r="X7" s="19"/>
    </row>
    <row r="8" spans="1:24">
      <c r="A8" s="17">
        <v>1965</v>
      </c>
      <c r="B8" s="7">
        <v>99209137</v>
      </c>
      <c r="C8" s="7">
        <v>700438</v>
      </c>
      <c r="D8" s="7">
        <v>106536</v>
      </c>
      <c r="E8" s="7">
        <v>75672</v>
      </c>
      <c r="F8" s="7">
        <v>172773</v>
      </c>
      <c r="G8" s="7">
        <v>29868</v>
      </c>
      <c r="H8" s="7">
        <v>49092</v>
      </c>
      <c r="I8" s="7"/>
      <c r="K8" s="7"/>
      <c r="L8" s="7"/>
      <c r="M8" s="7"/>
      <c r="N8" s="7"/>
      <c r="O8" s="7"/>
      <c r="P8" s="7"/>
      <c r="Q8" s="7"/>
      <c r="S8" s="19"/>
      <c r="T8" s="19"/>
      <c r="U8" s="19"/>
      <c r="V8" s="19"/>
      <c r="W8" s="19"/>
      <c r="X8" s="19"/>
    </row>
    <row r="9" spans="1:24">
      <c r="A9" s="17">
        <v>1970</v>
      </c>
      <c r="B9" s="7">
        <v>104665171</v>
      </c>
      <c r="C9" s="7">
        <v>712962</v>
      </c>
      <c r="D9" s="7">
        <v>119977</v>
      </c>
      <c r="E9" s="7">
        <v>89411</v>
      </c>
      <c r="F9" s="7">
        <v>181315</v>
      </c>
      <c r="G9" s="7">
        <v>27929</v>
      </c>
      <c r="H9" s="7">
        <v>39277</v>
      </c>
      <c r="I9" s="7"/>
      <c r="K9" s="7"/>
      <c r="L9" s="7"/>
      <c r="M9" s="7"/>
      <c r="N9" s="7"/>
      <c r="O9" s="7"/>
      <c r="P9" s="7"/>
      <c r="Q9" s="7"/>
      <c r="S9" s="19"/>
      <c r="T9" s="19"/>
      <c r="U9" s="19"/>
      <c r="V9" s="19"/>
      <c r="W9" s="19"/>
      <c r="X9" s="19"/>
    </row>
    <row r="10" spans="1:24">
      <c r="A10" s="17">
        <v>1975</v>
      </c>
      <c r="B10" s="7">
        <v>111939643</v>
      </c>
      <c r="C10" s="7">
        <v>702275</v>
      </c>
      <c r="D10" s="7">
        <v>136383</v>
      </c>
      <c r="E10" s="7">
        <v>99226</v>
      </c>
      <c r="F10" s="7">
        <v>174367</v>
      </c>
      <c r="G10" s="7">
        <v>30441</v>
      </c>
      <c r="H10" s="7">
        <v>29916</v>
      </c>
      <c r="I10" s="7"/>
      <c r="K10" s="7"/>
      <c r="L10" s="7"/>
      <c r="M10" s="7"/>
      <c r="N10" s="7"/>
      <c r="O10" s="7"/>
      <c r="P10" s="7"/>
      <c r="Q10" s="7"/>
      <c r="S10" s="19"/>
      <c r="T10" s="19"/>
      <c r="U10" s="19"/>
      <c r="V10" s="19"/>
      <c r="W10" s="19"/>
      <c r="X10" s="19"/>
    </row>
    <row r="11" spans="1:24">
      <c r="A11" s="17">
        <v>1980</v>
      </c>
      <c r="B11" s="7">
        <v>117060396</v>
      </c>
      <c r="C11" s="7">
        <v>722801</v>
      </c>
      <c r="D11" s="7">
        <v>161764</v>
      </c>
      <c r="E11" s="7">
        <v>123505</v>
      </c>
      <c r="F11" s="7">
        <v>162317</v>
      </c>
      <c r="G11" s="7">
        <v>33051</v>
      </c>
      <c r="H11" s="7">
        <v>32154</v>
      </c>
      <c r="I11" s="7"/>
      <c r="K11" s="7"/>
      <c r="L11" s="7"/>
      <c r="M11" s="7"/>
      <c r="N11" s="7"/>
      <c r="O11" s="7"/>
      <c r="P11" s="7"/>
      <c r="Q11" s="7"/>
      <c r="S11" s="19"/>
      <c r="T11" s="19"/>
      <c r="U11" s="19"/>
      <c r="V11" s="19"/>
      <c r="W11" s="19"/>
      <c r="X11" s="19"/>
    </row>
    <row r="12" spans="1:24">
      <c r="A12" s="17">
        <v>1985</v>
      </c>
      <c r="B12" s="7">
        <v>121048923</v>
      </c>
      <c r="C12" s="7">
        <v>752283</v>
      </c>
      <c r="D12" s="7">
        <v>187714</v>
      </c>
      <c r="E12" s="7">
        <v>141097</v>
      </c>
      <c r="F12" s="7">
        <v>134994</v>
      </c>
      <c r="G12" s="7">
        <v>45075</v>
      </c>
      <c r="H12" s="7">
        <v>27804</v>
      </c>
      <c r="I12" s="7"/>
      <c r="K12" s="7"/>
      <c r="L12" s="7"/>
      <c r="M12" s="7"/>
      <c r="N12" s="7"/>
      <c r="O12" s="7"/>
      <c r="P12" s="7"/>
      <c r="Q12" s="7"/>
      <c r="S12" s="19"/>
      <c r="T12" s="19"/>
      <c r="U12" s="19"/>
      <c r="V12" s="19"/>
      <c r="W12" s="19"/>
      <c r="X12" s="19"/>
    </row>
    <row r="13" spans="1:24">
      <c r="A13" s="17">
        <v>1990</v>
      </c>
      <c r="B13" s="7">
        <v>123611167</v>
      </c>
      <c r="C13" s="7">
        <v>820305</v>
      </c>
      <c r="D13" s="7">
        <v>217413</v>
      </c>
      <c r="E13" s="7">
        <v>165478</v>
      </c>
      <c r="F13" s="7">
        <v>121944</v>
      </c>
      <c r="G13" s="7">
        <v>68194</v>
      </c>
      <c r="H13" s="7">
        <v>24187</v>
      </c>
      <c r="I13" s="7"/>
      <c r="K13" s="7"/>
      <c r="L13" s="7"/>
      <c r="M13" s="7"/>
      <c r="N13" s="7"/>
      <c r="O13" s="7"/>
      <c r="P13" s="7"/>
      <c r="Q13" s="7"/>
      <c r="S13" s="19"/>
      <c r="T13" s="19"/>
      <c r="U13" s="19"/>
      <c r="V13" s="19"/>
      <c r="W13" s="19"/>
      <c r="X13" s="19"/>
    </row>
    <row r="14" spans="1:24">
      <c r="A14" s="17">
        <v>1995</v>
      </c>
      <c r="B14" s="7">
        <v>125570246</v>
      </c>
      <c r="C14" s="7">
        <v>922139</v>
      </c>
      <c r="D14" s="7">
        <v>263022</v>
      </c>
      <c r="E14" s="7">
        <v>139206</v>
      </c>
      <c r="F14" s="7">
        <v>146552</v>
      </c>
      <c r="G14" s="7">
        <v>79629</v>
      </c>
      <c r="H14" s="7">
        <v>21493</v>
      </c>
      <c r="I14" s="7"/>
      <c r="K14" s="7"/>
      <c r="L14" s="7"/>
      <c r="M14" s="7"/>
      <c r="N14" s="7"/>
      <c r="O14" s="7"/>
      <c r="P14" s="7"/>
      <c r="Q14" s="7"/>
      <c r="S14" s="19"/>
      <c r="T14" s="19"/>
      <c r="U14" s="19"/>
      <c r="V14" s="19"/>
      <c r="W14" s="19"/>
      <c r="X14" s="19"/>
    </row>
    <row r="15" spans="1:24">
      <c r="A15" s="17">
        <v>2000</v>
      </c>
      <c r="B15" s="7">
        <v>126925843</v>
      </c>
      <c r="C15" s="7">
        <v>961653</v>
      </c>
      <c r="D15" s="7">
        <v>295484</v>
      </c>
      <c r="E15" s="7">
        <v>146741</v>
      </c>
      <c r="F15" s="7">
        <v>132529</v>
      </c>
      <c r="G15" s="7">
        <v>86938</v>
      </c>
      <c r="H15" s="7">
        <v>21213</v>
      </c>
      <c r="I15" s="7"/>
      <c r="K15" s="7"/>
      <c r="L15" s="7"/>
      <c r="M15" s="7"/>
      <c r="N15" s="7"/>
      <c r="O15" s="7"/>
      <c r="P15" s="7"/>
      <c r="Q15" s="7"/>
      <c r="S15" s="19"/>
      <c r="T15" s="19"/>
      <c r="U15" s="19"/>
      <c r="V15" s="19"/>
      <c r="W15" s="19"/>
      <c r="X15" s="19"/>
    </row>
    <row r="16" spans="1:24">
      <c r="A16" s="17">
        <v>2005</v>
      </c>
      <c r="B16" s="7">
        <v>127767994</v>
      </c>
      <c r="C16" s="7">
        <v>1083796</v>
      </c>
      <c r="D16" s="7">
        <v>325941</v>
      </c>
      <c r="E16" s="7">
        <v>173125</v>
      </c>
      <c r="F16" s="7">
        <v>132847</v>
      </c>
      <c r="G16" s="7">
        <v>107241</v>
      </c>
      <c r="H16" s="7">
        <v>26360</v>
      </c>
      <c r="I16" s="7"/>
      <c r="K16" s="7"/>
      <c r="L16" s="7"/>
      <c r="M16" s="7"/>
      <c r="N16" s="7"/>
      <c r="O16" s="7"/>
      <c r="P16" s="7"/>
      <c r="Q16" s="7"/>
      <c r="S16" s="19"/>
      <c r="T16" s="19"/>
      <c r="U16" s="19"/>
      <c r="V16" s="19"/>
      <c r="W16" s="19"/>
      <c r="X16" s="19"/>
    </row>
    <row r="17" spans="1:24">
      <c r="A17" s="17">
        <v>2010</v>
      </c>
      <c r="B17" s="7">
        <v>128057352</v>
      </c>
      <c r="C17" s="7">
        <v>1197014</v>
      </c>
      <c r="D17" s="7">
        <v>353499</v>
      </c>
      <c r="E17" s="7">
        <v>189361</v>
      </c>
      <c r="F17" s="7">
        <v>123461</v>
      </c>
      <c r="G17" s="7">
        <v>118888</v>
      </c>
      <c r="H17" s="7">
        <v>45342</v>
      </c>
      <c r="I17" s="7"/>
      <c r="K17" s="7"/>
      <c r="L17" s="7"/>
      <c r="M17" s="7"/>
      <c r="N17" s="7"/>
      <c r="O17" s="7"/>
      <c r="P17" s="7"/>
      <c r="Q17" s="7"/>
      <c r="S17" s="19"/>
      <c r="T17" s="19"/>
      <c r="U17" s="19"/>
      <c r="V17" s="19"/>
      <c r="W17" s="19"/>
      <c r="X17" s="19"/>
    </row>
    <row r="18" spans="1:24">
      <c r="A18" s="17">
        <v>2015</v>
      </c>
      <c r="B18" s="7">
        <v>127094745</v>
      </c>
      <c r="C18" s="7">
        <v>1290510</v>
      </c>
      <c r="D18" s="7">
        <v>370362</v>
      </c>
      <c r="E18" s="7">
        <v>196127</v>
      </c>
      <c r="F18" s="7">
        <v>111974</v>
      </c>
      <c r="G18" s="7">
        <v>120959</v>
      </c>
      <c r="H18" s="7">
        <v>84819</v>
      </c>
      <c r="I18" s="7"/>
      <c r="K18" s="7"/>
      <c r="L18" s="7"/>
      <c r="M18" s="7"/>
      <c r="N18" s="7"/>
      <c r="O18" s="7"/>
      <c r="P18" s="7"/>
      <c r="Q18" s="7"/>
      <c r="S18" s="19"/>
      <c r="T18" s="19"/>
      <c r="U18" s="19"/>
      <c r="V18" s="19"/>
      <c r="W18" s="19"/>
      <c r="X18" s="19"/>
    </row>
    <row r="19" spans="1:24">
      <c r="A19" s="17">
        <v>2020</v>
      </c>
      <c r="B19" s="7">
        <v>126146099</v>
      </c>
      <c r="C19" s="7">
        <v>1372755</v>
      </c>
      <c r="D19" s="7">
        <v>378385</v>
      </c>
      <c r="E19" s="7">
        <v>205596</v>
      </c>
      <c r="F19" s="7">
        <v>102978</v>
      </c>
      <c r="G19" s="7">
        <v>78450</v>
      </c>
      <c r="H19" s="7">
        <v>132440</v>
      </c>
      <c r="I19" s="7"/>
      <c r="K19" s="7"/>
      <c r="L19" s="7"/>
      <c r="M19" s="7"/>
      <c r="N19" s="7"/>
      <c r="O19" s="7"/>
      <c r="P19" s="7"/>
      <c r="Q19" s="7"/>
      <c r="S19" s="19"/>
      <c r="T19" s="19"/>
      <c r="U19" s="19"/>
      <c r="V19" s="19"/>
      <c r="W19" s="19"/>
      <c r="X19" s="19"/>
    </row>
    <row r="21" spans="1:24">
      <c r="A21" s="20" t="s">
        <v>52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ColWidth="9" defaultRowHeight="17"/>
  <cols>
    <col min="1" max="1" width="8.1640625" style="1" customWidth="1"/>
    <col min="2" max="9" width="10.6640625" style="1" customWidth="1"/>
    <col min="10" max="16384" width="9" style="1"/>
  </cols>
  <sheetData>
    <row r="1" spans="1:9" ht="36" customHeigh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2" t="s">
        <v>8</v>
      </c>
    </row>
    <row r="2" spans="1:9">
      <c r="A2" s="24">
        <v>1</v>
      </c>
      <c r="B2" s="2">
        <v>40</v>
      </c>
      <c r="C2" s="3">
        <v>159.80000000000001</v>
      </c>
      <c r="D2" s="3">
        <v>62.8</v>
      </c>
      <c r="E2" s="2">
        <v>128</v>
      </c>
      <c r="F2" s="2">
        <v>80</v>
      </c>
      <c r="G2" s="3">
        <f>D2/(C2/100)^2</f>
        <v>24.592693307184664</v>
      </c>
      <c r="H2" s="4" t="str">
        <f>IF(G2&gt;=25,"肥満",IF(G2&lt;18,"るい痩","正常"))</f>
        <v>正常</v>
      </c>
      <c r="I2" s="4"/>
    </row>
    <row r="3" spans="1:9">
      <c r="A3" s="24">
        <v>2</v>
      </c>
      <c r="B3" s="2">
        <v>57</v>
      </c>
      <c r="C3" s="3">
        <v>150.80000000000001</v>
      </c>
      <c r="D3" s="3">
        <v>58.4</v>
      </c>
      <c r="E3" s="2">
        <v>152</v>
      </c>
      <c r="F3" s="2">
        <v>98</v>
      </c>
      <c r="G3" s="3">
        <f t="shared" ref="G3:G66" si="0">D3/(C3/100)^2</f>
        <v>25.680895524488314</v>
      </c>
      <c r="H3" s="4" t="str">
        <f t="shared" ref="H3:H66" si="1">IF(G3&gt;=25,"肥満",IF(G3&lt;18,"るい痩","正常"))</f>
        <v>肥満</v>
      </c>
      <c r="I3" s="4"/>
    </row>
    <row r="4" spans="1:9">
      <c r="A4" s="24">
        <v>3</v>
      </c>
      <c r="B4" s="2">
        <v>58</v>
      </c>
      <c r="C4" s="3">
        <v>150.9</v>
      </c>
      <c r="D4" s="3">
        <v>54</v>
      </c>
      <c r="E4" s="2">
        <v>120</v>
      </c>
      <c r="F4" s="2">
        <v>80</v>
      </c>
      <c r="G4" s="3">
        <f t="shared" si="0"/>
        <v>23.714571418408038</v>
      </c>
      <c r="H4" s="4" t="str">
        <f t="shared" si="1"/>
        <v>正常</v>
      </c>
      <c r="I4" s="4"/>
    </row>
    <row r="5" spans="1:9">
      <c r="A5" s="24">
        <v>4</v>
      </c>
      <c r="B5" s="2">
        <v>54</v>
      </c>
      <c r="C5" s="3">
        <v>155</v>
      </c>
      <c r="D5" s="3">
        <v>55.8</v>
      </c>
      <c r="E5" s="2">
        <v>114</v>
      </c>
      <c r="F5" s="2">
        <v>72</v>
      </c>
      <c r="G5" s="3">
        <f t="shared" si="0"/>
        <v>23.2258064516129</v>
      </c>
      <c r="H5" s="4" t="str">
        <f t="shared" si="1"/>
        <v>正常</v>
      </c>
      <c r="I5" s="4"/>
    </row>
    <row r="6" spans="1:9">
      <c r="A6" s="24">
        <v>5</v>
      </c>
      <c r="B6" s="2">
        <v>53</v>
      </c>
      <c r="C6" s="3">
        <v>155.19999999999999</v>
      </c>
      <c r="D6" s="3">
        <v>59.4</v>
      </c>
      <c r="E6" s="2">
        <v>150</v>
      </c>
      <c r="F6" s="2">
        <v>90</v>
      </c>
      <c r="G6" s="3">
        <f t="shared" si="0"/>
        <v>24.660564353278783</v>
      </c>
      <c r="H6" s="4" t="str">
        <f t="shared" si="1"/>
        <v>正常</v>
      </c>
      <c r="I6" s="4"/>
    </row>
    <row r="7" spans="1:9">
      <c r="A7" s="24">
        <v>6</v>
      </c>
      <c r="B7" s="2">
        <v>46</v>
      </c>
      <c r="C7" s="3">
        <v>145.80000000000001</v>
      </c>
      <c r="D7" s="3">
        <v>53</v>
      </c>
      <c r="E7" s="2">
        <v>130</v>
      </c>
      <c r="F7" s="2">
        <v>74</v>
      </c>
      <c r="G7" s="3">
        <f t="shared" si="0"/>
        <v>24.932212606855693</v>
      </c>
      <c r="H7" s="4" t="str">
        <f t="shared" si="1"/>
        <v>正常</v>
      </c>
      <c r="I7" s="4"/>
    </row>
    <row r="8" spans="1:9">
      <c r="A8" s="24">
        <v>7</v>
      </c>
      <c r="B8" s="2">
        <v>48</v>
      </c>
      <c r="C8" s="3">
        <v>152.9</v>
      </c>
      <c r="D8" s="3">
        <v>40.200000000000003</v>
      </c>
      <c r="E8" s="2">
        <v>156</v>
      </c>
      <c r="F8" s="2">
        <v>104</v>
      </c>
      <c r="G8" s="3">
        <f t="shared" si="0"/>
        <v>17.19535246408973</v>
      </c>
      <c r="H8" s="4" t="str">
        <f t="shared" si="1"/>
        <v>るい痩</v>
      </c>
      <c r="I8" s="4"/>
    </row>
    <row r="9" spans="1:9">
      <c r="A9" s="24">
        <v>8</v>
      </c>
      <c r="B9" s="2">
        <v>52</v>
      </c>
      <c r="C9" s="3">
        <v>144.9</v>
      </c>
      <c r="D9" s="3">
        <v>48.6</v>
      </c>
      <c r="E9" s="2">
        <v>164</v>
      </c>
      <c r="F9" s="2">
        <v>96</v>
      </c>
      <c r="G9" s="3">
        <f t="shared" si="0"/>
        <v>23.147255121330193</v>
      </c>
      <c r="H9" s="4" t="str">
        <f t="shared" si="1"/>
        <v>正常</v>
      </c>
      <c r="I9" s="4"/>
    </row>
    <row r="10" spans="1:9">
      <c r="A10" s="24">
        <v>9</v>
      </c>
      <c r="B10" s="2">
        <v>57</v>
      </c>
      <c r="C10" s="3">
        <v>159</v>
      </c>
      <c r="D10" s="3">
        <v>61</v>
      </c>
      <c r="E10" s="2">
        <v>132</v>
      </c>
      <c r="F10" s="2">
        <v>90</v>
      </c>
      <c r="G10" s="3">
        <f t="shared" si="0"/>
        <v>24.128792373719392</v>
      </c>
      <c r="H10" s="4" t="str">
        <f t="shared" si="1"/>
        <v>正常</v>
      </c>
      <c r="I10" s="4"/>
    </row>
    <row r="11" spans="1:9">
      <c r="A11" s="24">
        <v>10</v>
      </c>
      <c r="B11" s="2">
        <v>42</v>
      </c>
      <c r="C11" s="3">
        <v>152.9</v>
      </c>
      <c r="D11" s="3">
        <v>40.799999999999997</v>
      </c>
      <c r="E11" s="2">
        <v>108</v>
      </c>
      <c r="F11" s="2">
        <v>64</v>
      </c>
      <c r="G11" s="3">
        <f t="shared" si="0"/>
        <v>17.451999515792558</v>
      </c>
      <c r="H11" s="4" t="str">
        <f t="shared" si="1"/>
        <v>るい痩</v>
      </c>
      <c r="I11" s="4"/>
    </row>
    <row r="12" spans="1:9">
      <c r="A12" s="24">
        <v>11</v>
      </c>
      <c r="B12" s="2">
        <v>48</v>
      </c>
      <c r="C12" s="3">
        <v>158.5</v>
      </c>
      <c r="D12" s="3">
        <v>48</v>
      </c>
      <c r="E12" s="2">
        <v>124</v>
      </c>
      <c r="F12" s="2">
        <v>74</v>
      </c>
      <c r="G12" s="3">
        <f t="shared" si="0"/>
        <v>19.106568878185673</v>
      </c>
      <c r="H12" s="4" t="str">
        <f t="shared" si="1"/>
        <v>正常</v>
      </c>
      <c r="I12" s="4"/>
    </row>
    <row r="13" spans="1:9">
      <c r="A13" s="24">
        <v>12</v>
      </c>
      <c r="B13" s="2">
        <v>47</v>
      </c>
      <c r="C13" s="3">
        <v>148.19999999999999</v>
      </c>
      <c r="D13" s="3">
        <v>55.6</v>
      </c>
      <c r="E13" s="2">
        <v>116</v>
      </c>
      <c r="F13" s="2">
        <v>70</v>
      </c>
      <c r="G13" s="3">
        <f t="shared" si="0"/>
        <v>25.315026380442958</v>
      </c>
      <c r="H13" s="4" t="str">
        <f t="shared" si="1"/>
        <v>肥満</v>
      </c>
      <c r="I13" s="4"/>
    </row>
    <row r="14" spans="1:9">
      <c r="A14" s="24">
        <v>13</v>
      </c>
      <c r="B14" s="2">
        <v>41</v>
      </c>
      <c r="C14" s="3">
        <v>159.30000000000001</v>
      </c>
      <c r="D14" s="3">
        <v>59.2</v>
      </c>
      <c r="E14" s="2">
        <v>120</v>
      </c>
      <c r="F14" s="2">
        <v>78</v>
      </c>
      <c r="G14" s="3">
        <f t="shared" si="0"/>
        <v>23.328679419415369</v>
      </c>
      <c r="H14" s="4" t="str">
        <f t="shared" si="1"/>
        <v>正常</v>
      </c>
      <c r="I14" s="4"/>
    </row>
    <row r="15" spans="1:9">
      <c r="A15" s="24">
        <v>14</v>
      </c>
      <c r="B15" s="2">
        <v>51</v>
      </c>
      <c r="C15" s="3">
        <v>146.80000000000001</v>
      </c>
      <c r="D15" s="3">
        <v>53.6</v>
      </c>
      <c r="E15" s="2">
        <v>148</v>
      </c>
      <c r="F15" s="2">
        <v>86</v>
      </c>
      <c r="G15" s="3">
        <f t="shared" si="0"/>
        <v>24.872112793175383</v>
      </c>
      <c r="H15" s="4" t="str">
        <f t="shared" si="1"/>
        <v>正常</v>
      </c>
      <c r="I15" s="4"/>
    </row>
    <row r="16" spans="1:9">
      <c r="A16" s="24">
        <v>15</v>
      </c>
      <c r="B16" s="2">
        <v>57</v>
      </c>
      <c r="C16" s="3">
        <v>159.6</v>
      </c>
      <c r="D16" s="3">
        <v>52</v>
      </c>
      <c r="E16" s="2">
        <v>134</v>
      </c>
      <c r="F16" s="2">
        <v>74</v>
      </c>
      <c r="G16" s="3">
        <f t="shared" si="0"/>
        <v>20.414444632885473</v>
      </c>
      <c r="H16" s="4" t="str">
        <f t="shared" si="1"/>
        <v>正常</v>
      </c>
      <c r="I16" s="4"/>
    </row>
    <row r="17" spans="1:9">
      <c r="A17" s="24">
        <v>16</v>
      </c>
      <c r="B17" s="2">
        <v>51</v>
      </c>
      <c r="C17" s="3">
        <v>151.6</v>
      </c>
      <c r="D17" s="3">
        <v>59</v>
      </c>
      <c r="E17" s="2">
        <v>142</v>
      </c>
      <c r="F17" s="2">
        <v>90</v>
      </c>
      <c r="G17" s="3">
        <f t="shared" si="0"/>
        <v>25.671639712895345</v>
      </c>
      <c r="H17" s="4" t="str">
        <f t="shared" si="1"/>
        <v>肥満</v>
      </c>
      <c r="I17" s="4"/>
    </row>
    <row r="18" spans="1:9">
      <c r="A18" s="24">
        <v>17</v>
      </c>
      <c r="B18" s="2">
        <v>49</v>
      </c>
      <c r="C18" s="3">
        <v>158.30000000000001</v>
      </c>
      <c r="D18" s="3">
        <v>62.6</v>
      </c>
      <c r="E18" s="2">
        <v>126</v>
      </c>
      <c r="F18" s="2">
        <v>84</v>
      </c>
      <c r="G18" s="3">
        <f t="shared" si="0"/>
        <v>24.981154392712519</v>
      </c>
      <c r="H18" s="4" t="str">
        <f t="shared" si="1"/>
        <v>正常</v>
      </c>
      <c r="I18" s="4"/>
    </row>
    <row r="19" spans="1:9">
      <c r="A19" s="24">
        <v>18</v>
      </c>
      <c r="B19" s="2">
        <v>40</v>
      </c>
      <c r="C19" s="3">
        <v>143.30000000000001</v>
      </c>
      <c r="D19" s="3">
        <v>53.4</v>
      </c>
      <c r="E19" s="2">
        <v>120</v>
      </c>
      <c r="F19" s="2">
        <v>84</v>
      </c>
      <c r="G19" s="3">
        <f t="shared" si="0"/>
        <v>26.004522059772412</v>
      </c>
      <c r="H19" s="4" t="str">
        <f t="shared" si="1"/>
        <v>肥満</v>
      </c>
      <c r="I19" s="4"/>
    </row>
    <row r="20" spans="1:9">
      <c r="A20" s="24">
        <v>19</v>
      </c>
      <c r="B20" s="2">
        <v>57</v>
      </c>
      <c r="C20" s="3">
        <v>153.9</v>
      </c>
      <c r="D20" s="3">
        <v>62.8</v>
      </c>
      <c r="E20" s="2">
        <v>140</v>
      </c>
      <c r="F20" s="2">
        <v>90</v>
      </c>
      <c r="G20" s="3">
        <f t="shared" si="0"/>
        <v>26.514436646329077</v>
      </c>
      <c r="H20" s="4" t="str">
        <f t="shared" si="1"/>
        <v>肥満</v>
      </c>
      <c r="I20" s="4"/>
    </row>
    <row r="21" spans="1:9">
      <c r="A21" s="24">
        <v>20</v>
      </c>
      <c r="B21" s="2">
        <v>58</v>
      </c>
      <c r="C21" s="3">
        <v>151.80000000000001</v>
      </c>
      <c r="D21" s="3">
        <v>48.8</v>
      </c>
      <c r="E21" s="2">
        <v>150</v>
      </c>
      <c r="F21" s="2">
        <v>90</v>
      </c>
      <c r="G21" s="3">
        <f t="shared" si="0"/>
        <v>21.17757745872542</v>
      </c>
      <c r="H21" s="4" t="str">
        <f t="shared" si="1"/>
        <v>正常</v>
      </c>
      <c r="I21" s="4"/>
    </row>
    <row r="22" spans="1:9">
      <c r="A22" s="24">
        <v>21</v>
      </c>
      <c r="B22" s="2">
        <v>54</v>
      </c>
      <c r="C22" s="3">
        <v>139.4</v>
      </c>
      <c r="D22" s="3">
        <v>45.4</v>
      </c>
      <c r="E22" s="2">
        <v>130</v>
      </c>
      <c r="F22" s="2">
        <v>84</v>
      </c>
      <c r="G22" s="3">
        <f t="shared" si="0"/>
        <v>23.3630912560286</v>
      </c>
      <c r="H22" s="4" t="str">
        <f t="shared" si="1"/>
        <v>正常</v>
      </c>
      <c r="I22" s="4"/>
    </row>
    <row r="23" spans="1:9">
      <c r="A23" s="24">
        <v>22</v>
      </c>
      <c r="B23" s="2">
        <v>55</v>
      </c>
      <c r="C23" s="3">
        <v>162.30000000000001</v>
      </c>
      <c r="D23" s="3">
        <v>58.6</v>
      </c>
      <c r="E23" s="2">
        <v>122</v>
      </c>
      <c r="F23" s="2">
        <v>78</v>
      </c>
      <c r="G23" s="3">
        <f t="shared" si="0"/>
        <v>22.246442752044409</v>
      </c>
      <c r="H23" s="4" t="str">
        <f t="shared" si="1"/>
        <v>正常</v>
      </c>
      <c r="I23" s="4"/>
    </row>
    <row r="24" spans="1:9">
      <c r="A24" s="24">
        <v>23</v>
      </c>
      <c r="B24" s="2">
        <v>54</v>
      </c>
      <c r="C24" s="3">
        <v>136.19999999999999</v>
      </c>
      <c r="D24" s="3">
        <v>30.2</v>
      </c>
      <c r="E24" s="2">
        <v>120</v>
      </c>
      <c r="F24" s="2">
        <v>64</v>
      </c>
      <c r="G24" s="3">
        <f t="shared" si="0"/>
        <v>16.279937295287876</v>
      </c>
      <c r="H24" s="4" t="str">
        <f t="shared" si="1"/>
        <v>るい痩</v>
      </c>
      <c r="I24" s="4"/>
    </row>
    <row r="25" spans="1:9">
      <c r="A25" s="24">
        <v>24</v>
      </c>
      <c r="B25" s="2">
        <v>59</v>
      </c>
      <c r="C25" s="3">
        <v>154</v>
      </c>
      <c r="D25" s="3">
        <v>55.2</v>
      </c>
      <c r="E25" s="2">
        <v>130</v>
      </c>
      <c r="F25" s="2">
        <v>72</v>
      </c>
      <c r="G25" s="3">
        <f t="shared" si="0"/>
        <v>23.275425872828471</v>
      </c>
      <c r="H25" s="4" t="str">
        <f t="shared" si="1"/>
        <v>正常</v>
      </c>
      <c r="I25" s="4"/>
    </row>
    <row r="26" spans="1:9">
      <c r="A26" s="24">
        <v>25</v>
      </c>
      <c r="B26" s="2">
        <v>57</v>
      </c>
      <c r="C26" s="3">
        <v>145.69999999999999</v>
      </c>
      <c r="D26" s="3">
        <v>52.4</v>
      </c>
      <c r="E26" s="2">
        <v>130</v>
      </c>
      <c r="F26" s="2">
        <v>74</v>
      </c>
      <c r="G26" s="3">
        <f t="shared" si="0"/>
        <v>24.68380935243157</v>
      </c>
      <c r="H26" s="4" t="str">
        <f t="shared" si="1"/>
        <v>正常</v>
      </c>
      <c r="I26" s="4"/>
    </row>
    <row r="27" spans="1:9">
      <c r="A27" s="24">
        <v>26</v>
      </c>
      <c r="B27" s="2">
        <v>58</v>
      </c>
      <c r="C27" s="3">
        <v>141</v>
      </c>
      <c r="D27" s="3">
        <v>44</v>
      </c>
      <c r="E27" s="2">
        <v>132</v>
      </c>
      <c r="F27" s="2">
        <v>84</v>
      </c>
      <c r="G27" s="3">
        <f t="shared" si="0"/>
        <v>22.131683516925712</v>
      </c>
      <c r="H27" s="4" t="str">
        <f t="shared" si="1"/>
        <v>正常</v>
      </c>
      <c r="I27" s="4"/>
    </row>
    <row r="28" spans="1:9">
      <c r="A28" s="24">
        <v>27</v>
      </c>
      <c r="B28" s="2">
        <v>50</v>
      </c>
      <c r="C28" s="3">
        <v>153.6</v>
      </c>
      <c r="D28" s="3">
        <v>48.4</v>
      </c>
      <c r="E28" s="2">
        <v>100</v>
      </c>
      <c r="F28" s="2">
        <v>62</v>
      </c>
      <c r="G28" s="3">
        <f t="shared" si="0"/>
        <v>20.514594184027775</v>
      </c>
      <c r="H28" s="4" t="str">
        <f t="shared" si="1"/>
        <v>正常</v>
      </c>
      <c r="I28" s="4"/>
    </row>
    <row r="29" spans="1:9">
      <c r="A29" s="24">
        <v>28</v>
      </c>
      <c r="B29" s="2">
        <v>54</v>
      </c>
      <c r="C29" s="3">
        <v>140.5</v>
      </c>
      <c r="D29" s="3">
        <v>53</v>
      </c>
      <c r="E29" s="2">
        <v>164</v>
      </c>
      <c r="F29" s="2">
        <v>102</v>
      </c>
      <c r="G29" s="3">
        <f t="shared" si="0"/>
        <v>26.848697458238874</v>
      </c>
      <c r="H29" s="4" t="str">
        <f t="shared" si="1"/>
        <v>肥満</v>
      </c>
      <c r="I29" s="4"/>
    </row>
    <row r="30" spans="1:9">
      <c r="A30" s="24">
        <v>29</v>
      </c>
      <c r="B30" s="2">
        <v>56</v>
      </c>
      <c r="C30" s="3">
        <v>160.69999999999999</v>
      </c>
      <c r="D30" s="3">
        <v>56.6</v>
      </c>
      <c r="E30" s="2">
        <v>120</v>
      </c>
      <c r="F30" s="2">
        <v>78</v>
      </c>
      <c r="G30" s="3">
        <f t="shared" si="0"/>
        <v>21.917180165029396</v>
      </c>
      <c r="H30" s="4" t="str">
        <f t="shared" si="1"/>
        <v>正常</v>
      </c>
      <c r="I30" s="4"/>
    </row>
    <row r="31" spans="1:9">
      <c r="A31" s="24">
        <v>30</v>
      </c>
      <c r="B31" s="2">
        <v>56</v>
      </c>
      <c r="C31" s="3">
        <v>149.30000000000001</v>
      </c>
      <c r="D31" s="3">
        <v>52.6</v>
      </c>
      <c r="E31" s="2">
        <v>120</v>
      </c>
      <c r="F31" s="2">
        <v>90</v>
      </c>
      <c r="G31" s="3">
        <f t="shared" si="0"/>
        <v>23.597507277767331</v>
      </c>
      <c r="H31" s="4" t="str">
        <f t="shared" si="1"/>
        <v>正常</v>
      </c>
      <c r="I31" s="4"/>
    </row>
    <row r="32" spans="1:9">
      <c r="A32" s="24">
        <v>31</v>
      </c>
      <c r="B32" s="2">
        <v>46</v>
      </c>
      <c r="C32" s="3">
        <v>165.1</v>
      </c>
      <c r="D32" s="3">
        <v>62.2</v>
      </c>
      <c r="E32" s="2">
        <v>124</v>
      </c>
      <c r="F32" s="2">
        <v>72</v>
      </c>
      <c r="G32" s="3">
        <f t="shared" si="0"/>
        <v>22.818980549203701</v>
      </c>
      <c r="H32" s="4" t="str">
        <f t="shared" si="1"/>
        <v>正常</v>
      </c>
      <c r="I32" s="4"/>
    </row>
    <row r="33" spans="1:9">
      <c r="A33" s="24">
        <v>32</v>
      </c>
      <c r="B33" s="2">
        <v>52</v>
      </c>
      <c r="C33" s="3">
        <v>153.30000000000001</v>
      </c>
      <c r="D33" s="3">
        <v>65.2</v>
      </c>
      <c r="E33" s="2">
        <v>124</v>
      </c>
      <c r="F33" s="2">
        <v>84</v>
      </c>
      <c r="G33" s="3">
        <f t="shared" si="0"/>
        <v>27.743630134858716</v>
      </c>
      <c r="H33" s="4" t="str">
        <f t="shared" si="1"/>
        <v>肥満</v>
      </c>
      <c r="I33" s="4"/>
    </row>
    <row r="34" spans="1:9">
      <c r="A34" s="24">
        <v>33</v>
      </c>
      <c r="B34" s="2">
        <v>55</v>
      </c>
      <c r="C34" s="3">
        <v>153.19999999999999</v>
      </c>
      <c r="D34" s="3">
        <v>58.8</v>
      </c>
      <c r="E34" s="2">
        <v>156</v>
      </c>
      <c r="F34" s="2">
        <v>90</v>
      </c>
      <c r="G34" s="3">
        <f t="shared" si="0"/>
        <v>25.05300329268044</v>
      </c>
      <c r="H34" s="4" t="str">
        <f t="shared" si="1"/>
        <v>肥満</v>
      </c>
      <c r="I34" s="4"/>
    </row>
    <row r="35" spans="1:9">
      <c r="A35" s="24">
        <v>34</v>
      </c>
      <c r="B35" s="2">
        <v>45</v>
      </c>
      <c r="C35" s="3">
        <v>164.5</v>
      </c>
      <c r="D35" s="3">
        <v>60.6</v>
      </c>
      <c r="E35" s="2">
        <v>98</v>
      </c>
      <c r="F35" s="2">
        <v>60</v>
      </c>
      <c r="G35" s="3">
        <f t="shared" si="0"/>
        <v>22.394471595790876</v>
      </c>
      <c r="H35" s="4" t="str">
        <f t="shared" si="1"/>
        <v>正常</v>
      </c>
      <c r="I35" s="4"/>
    </row>
    <row r="36" spans="1:9">
      <c r="A36" s="24">
        <v>35</v>
      </c>
      <c r="B36" s="2">
        <v>55</v>
      </c>
      <c r="C36" s="3">
        <v>148.1</v>
      </c>
      <c r="D36" s="3">
        <v>46.8</v>
      </c>
      <c r="E36" s="2">
        <v>114</v>
      </c>
      <c r="F36" s="2">
        <v>72</v>
      </c>
      <c r="G36" s="3">
        <f t="shared" si="0"/>
        <v>21.337116872233988</v>
      </c>
      <c r="H36" s="4" t="str">
        <f t="shared" si="1"/>
        <v>正常</v>
      </c>
      <c r="I36" s="4"/>
    </row>
    <row r="37" spans="1:9">
      <c r="A37" s="24">
        <v>36</v>
      </c>
      <c r="B37" s="2">
        <v>52</v>
      </c>
      <c r="C37" s="3">
        <v>157.4</v>
      </c>
      <c r="D37" s="3">
        <v>59.6</v>
      </c>
      <c r="E37" s="2">
        <v>134</v>
      </c>
      <c r="F37" s="2">
        <v>96</v>
      </c>
      <c r="G37" s="3">
        <f t="shared" si="0"/>
        <v>24.056741619293181</v>
      </c>
      <c r="H37" s="4" t="str">
        <f t="shared" si="1"/>
        <v>正常</v>
      </c>
      <c r="I37" s="4"/>
    </row>
    <row r="38" spans="1:9">
      <c r="A38" s="24">
        <v>37</v>
      </c>
      <c r="B38" s="2">
        <v>49</v>
      </c>
      <c r="C38" s="3">
        <v>154.80000000000001</v>
      </c>
      <c r="D38" s="3">
        <v>61.6</v>
      </c>
      <c r="E38" s="2">
        <v>100</v>
      </c>
      <c r="F38" s="2">
        <v>66</v>
      </c>
      <c r="G38" s="3">
        <f t="shared" si="0"/>
        <v>25.706254298286026</v>
      </c>
      <c r="H38" s="4" t="str">
        <f t="shared" si="1"/>
        <v>肥満</v>
      </c>
      <c r="I38" s="4"/>
    </row>
    <row r="39" spans="1:9">
      <c r="A39" s="24">
        <v>38</v>
      </c>
      <c r="B39" s="2">
        <v>52</v>
      </c>
      <c r="C39" s="3">
        <v>157.69999999999999</v>
      </c>
      <c r="D39" s="3">
        <v>53</v>
      </c>
      <c r="E39" s="2">
        <v>136</v>
      </c>
      <c r="F39" s="2">
        <v>92</v>
      </c>
      <c r="G39" s="3">
        <f t="shared" si="0"/>
        <v>21.311424652653937</v>
      </c>
      <c r="H39" s="4" t="str">
        <f t="shared" si="1"/>
        <v>正常</v>
      </c>
      <c r="I39" s="4"/>
    </row>
    <row r="40" spans="1:9">
      <c r="A40" s="24">
        <v>39</v>
      </c>
      <c r="B40" s="2">
        <v>48</v>
      </c>
      <c r="C40" s="3">
        <v>157.30000000000001</v>
      </c>
      <c r="D40" s="3">
        <v>62</v>
      </c>
      <c r="E40" s="2">
        <v>134</v>
      </c>
      <c r="F40" s="2">
        <v>82</v>
      </c>
      <c r="G40" s="3">
        <f t="shared" si="0"/>
        <v>25.057298362505549</v>
      </c>
      <c r="H40" s="4" t="str">
        <f t="shared" si="1"/>
        <v>肥満</v>
      </c>
      <c r="I40" s="4"/>
    </row>
    <row r="41" spans="1:9">
      <c r="A41" s="24">
        <v>40</v>
      </c>
      <c r="B41" s="2">
        <v>54</v>
      </c>
      <c r="C41" s="3">
        <v>152</v>
      </c>
      <c r="D41" s="3">
        <v>59.8</v>
      </c>
      <c r="E41" s="2">
        <v>166</v>
      </c>
      <c r="F41" s="2">
        <v>94</v>
      </c>
      <c r="G41" s="3">
        <f t="shared" si="0"/>
        <v>25.882963988919666</v>
      </c>
      <c r="H41" s="4" t="str">
        <f t="shared" si="1"/>
        <v>肥満</v>
      </c>
      <c r="I41" s="4"/>
    </row>
    <row r="42" spans="1:9">
      <c r="A42" s="24">
        <v>41</v>
      </c>
      <c r="B42" s="2">
        <v>52</v>
      </c>
      <c r="C42" s="3">
        <v>139.69999999999999</v>
      </c>
      <c r="D42" s="3">
        <v>50.2</v>
      </c>
      <c r="E42" s="2">
        <v>104</v>
      </c>
      <c r="F42" s="2">
        <v>62</v>
      </c>
      <c r="G42" s="3">
        <f t="shared" si="0"/>
        <v>25.722365494317774</v>
      </c>
      <c r="H42" s="4" t="str">
        <f t="shared" si="1"/>
        <v>肥満</v>
      </c>
      <c r="I42" s="4"/>
    </row>
    <row r="43" spans="1:9">
      <c r="A43" s="24">
        <v>42</v>
      </c>
      <c r="B43" s="2">
        <v>53</v>
      </c>
      <c r="C43" s="3">
        <v>154.80000000000001</v>
      </c>
      <c r="D43" s="3">
        <v>50.8</v>
      </c>
      <c r="E43" s="2">
        <v>124</v>
      </c>
      <c r="F43" s="2">
        <v>80</v>
      </c>
      <c r="G43" s="3">
        <f t="shared" si="0"/>
        <v>21.199313609625488</v>
      </c>
      <c r="H43" s="4" t="str">
        <f t="shared" si="1"/>
        <v>正常</v>
      </c>
      <c r="I43" s="4"/>
    </row>
    <row r="44" spans="1:9">
      <c r="A44" s="24">
        <v>43</v>
      </c>
      <c r="B44" s="2">
        <v>55</v>
      </c>
      <c r="C44" s="3">
        <v>150.4</v>
      </c>
      <c r="D44" s="3">
        <v>44.8</v>
      </c>
      <c r="E44" s="2">
        <v>114</v>
      </c>
      <c r="F44" s="2">
        <v>70</v>
      </c>
      <c r="G44" s="3">
        <f t="shared" si="0"/>
        <v>19.805341783612494</v>
      </c>
      <c r="H44" s="4" t="str">
        <f t="shared" si="1"/>
        <v>正常</v>
      </c>
      <c r="I44" s="4"/>
    </row>
    <row r="45" spans="1:9">
      <c r="A45" s="24">
        <v>44</v>
      </c>
      <c r="B45" s="2">
        <v>51</v>
      </c>
      <c r="C45" s="3">
        <v>155.69999999999999</v>
      </c>
      <c r="D45" s="3">
        <v>47.4</v>
      </c>
      <c r="E45" s="2">
        <v>140</v>
      </c>
      <c r="F45" s="2">
        <v>80</v>
      </c>
      <c r="G45" s="3">
        <f t="shared" si="0"/>
        <v>19.552446963987613</v>
      </c>
      <c r="H45" s="4" t="str">
        <f t="shared" si="1"/>
        <v>正常</v>
      </c>
      <c r="I45" s="4"/>
    </row>
    <row r="46" spans="1:9">
      <c r="A46" s="24">
        <v>45</v>
      </c>
      <c r="B46" s="2">
        <v>45</v>
      </c>
      <c r="C46" s="3">
        <v>153.30000000000001</v>
      </c>
      <c r="D46" s="3">
        <v>44.4</v>
      </c>
      <c r="E46" s="2">
        <v>104</v>
      </c>
      <c r="F46" s="2">
        <v>64</v>
      </c>
      <c r="G46" s="3">
        <f t="shared" si="0"/>
        <v>18.892901502879248</v>
      </c>
      <c r="H46" s="4" t="str">
        <f t="shared" si="1"/>
        <v>正常</v>
      </c>
      <c r="I46" s="4"/>
    </row>
    <row r="47" spans="1:9">
      <c r="A47" s="24">
        <v>46</v>
      </c>
      <c r="B47" s="2">
        <v>53</v>
      </c>
      <c r="C47" s="3">
        <v>140.69999999999999</v>
      </c>
      <c r="D47" s="3">
        <v>43.4</v>
      </c>
      <c r="E47" s="2">
        <v>124</v>
      </c>
      <c r="F47" s="2">
        <v>70</v>
      </c>
      <c r="G47" s="3">
        <f t="shared" si="0"/>
        <v>21.923078283069376</v>
      </c>
      <c r="H47" s="4" t="str">
        <f t="shared" si="1"/>
        <v>正常</v>
      </c>
      <c r="I47" s="4"/>
    </row>
    <row r="48" spans="1:9">
      <c r="A48" s="24">
        <v>47</v>
      </c>
      <c r="B48" s="2">
        <v>45</v>
      </c>
      <c r="C48" s="3">
        <v>151.30000000000001</v>
      </c>
      <c r="D48" s="3">
        <v>52.6</v>
      </c>
      <c r="E48" s="2">
        <v>104</v>
      </c>
      <c r="F48" s="2">
        <v>80</v>
      </c>
      <c r="G48" s="3">
        <f t="shared" si="0"/>
        <v>22.977770535945574</v>
      </c>
      <c r="H48" s="4" t="str">
        <f t="shared" si="1"/>
        <v>正常</v>
      </c>
      <c r="I48" s="4"/>
    </row>
    <row r="49" spans="1:9">
      <c r="A49" s="24">
        <v>48</v>
      </c>
      <c r="B49" s="2">
        <v>55</v>
      </c>
      <c r="C49" s="3">
        <v>153.5</v>
      </c>
      <c r="D49" s="3">
        <v>62.8</v>
      </c>
      <c r="E49" s="2">
        <v>136</v>
      </c>
      <c r="F49" s="2">
        <v>84</v>
      </c>
      <c r="G49" s="3">
        <f t="shared" si="0"/>
        <v>26.652802682256578</v>
      </c>
      <c r="H49" s="4" t="str">
        <f t="shared" si="1"/>
        <v>肥満</v>
      </c>
      <c r="I49" s="4"/>
    </row>
    <row r="50" spans="1:9">
      <c r="A50" s="24">
        <v>49</v>
      </c>
      <c r="B50" s="2">
        <v>57</v>
      </c>
      <c r="C50" s="3">
        <v>152</v>
      </c>
      <c r="D50" s="3">
        <v>55.4</v>
      </c>
      <c r="E50" s="2">
        <v>124</v>
      </c>
      <c r="F50" s="2">
        <v>72</v>
      </c>
      <c r="G50" s="3">
        <f t="shared" si="0"/>
        <v>23.978531855955676</v>
      </c>
      <c r="H50" s="4" t="str">
        <f t="shared" si="1"/>
        <v>正常</v>
      </c>
      <c r="I50" s="4"/>
    </row>
    <row r="51" spans="1:9">
      <c r="A51" s="24">
        <v>50</v>
      </c>
      <c r="B51" s="2">
        <v>57</v>
      </c>
      <c r="C51" s="3">
        <v>155.5</v>
      </c>
      <c r="D51" s="3">
        <v>66.2</v>
      </c>
      <c r="E51" s="2">
        <v>150</v>
      </c>
      <c r="F51" s="2">
        <v>70</v>
      </c>
      <c r="G51" s="3">
        <f t="shared" si="0"/>
        <v>27.37771528416787</v>
      </c>
      <c r="H51" s="4" t="str">
        <f t="shared" si="1"/>
        <v>肥満</v>
      </c>
      <c r="I51" s="4"/>
    </row>
    <row r="52" spans="1:9">
      <c r="A52" s="24">
        <v>51</v>
      </c>
      <c r="B52" s="2">
        <v>55</v>
      </c>
      <c r="C52" s="3">
        <v>152.4</v>
      </c>
      <c r="D52" s="3">
        <v>49</v>
      </c>
      <c r="E52" s="2">
        <v>150</v>
      </c>
      <c r="F52" s="2">
        <v>88</v>
      </c>
      <c r="G52" s="3">
        <f t="shared" si="0"/>
        <v>21.097264416751052</v>
      </c>
      <c r="H52" s="4" t="str">
        <f t="shared" si="1"/>
        <v>正常</v>
      </c>
      <c r="I52" s="4"/>
    </row>
    <row r="53" spans="1:9">
      <c r="A53" s="24">
        <v>52</v>
      </c>
      <c r="B53" s="2">
        <v>52</v>
      </c>
      <c r="C53" s="3">
        <v>149.19999999999999</v>
      </c>
      <c r="D53" s="3">
        <v>53.6</v>
      </c>
      <c r="E53" s="2">
        <v>122</v>
      </c>
      <c r="F53" s="2">
        <v>82</v>
      </c>
      <c r="G53" s="3">
        <f t="shared" si="0"/>
        <v>24.078373308224741</v>
      </c>
      <c r="H53" s="4" t="str">
        <f t="shared" si="1"/>
        <v>正常</v>
      </c>
      <c r="I53" s="4"/>
    </row>
    <row r="54" spans="1:9">
      <c r="A54" s="24">
        <v>53</v>
      </c>
      <c r="B54" s="2">
        <v>58</v>
      </c>
      <c r="C54" s="3">
        <v>149.6</v>
      </c>
      <c r="D54" s="3">
        <v>88</v>
      </c>
      <c r="E54" s="2">
        <v>166</v>
      </c>
      <c r="F54" s="2">
        <v>100</v>
      </c>
      <c r="G54" s="3">
        <f t="shared" si="0"/>
        <v>39.320541050644856</v>
      </c>
      <c r="H54" s="4" t="str">
        <f t="shared" si="1"/>
        <v>肥満</v>
      </c>
      <c r="I54" s="4"/>
    </row>
    <row r="55" spans="1:9">
      <c r="A55" s="24">
        <v>54</v>
      </c>
      <c r="B55" s="2">
        <v>52</v>
      </c>
      <c r="C55" s="3">
        <v>154.80000000000001</v>
      </c>
      <c r="D55" s="3">
        <v>58.2</v>
      </c>
      <c r="E55" s="2">
        <v>110</v>
      </c>
      <c r="F55" s="2">
        <v>64</v>
      </c>
      <c r="G55" s="3">
        <f t="shared" si="0"/>
        <v>24.287402600004004</v>
      </c>
      <c r="H55" s="4" t="str">
        <f t="shared" si="1"/>
        <v>正常</v>
      </c>
      <c r="I55" s="4"/>
    </row>
    <row r="56" spans="1:9">
      <c r="A56" s="24">
        <v>55</v>
      </c>
      <c r="B56" s="2">
        <v>42</v>
      </c>
      <c r="C56" s="3">
        <v>157.30000000000001</v>
      </c>
      <c r="D56" s="3">
        <v>45.8</v>
      </c>
      <c r="E56" s="2">
        <v>116</v>
      </c>
      <c r="F56" s="2">
        <v>72</v>
      </c>
      <c r="G56" s="3">
        <f t="shared" si="0"/>
        <v>18.510068790367001</v>
      </c>
      <c r="H56" s="4" t="str">
        <f t="shared" si="1"/>
        <v>正常</v>
      </c>
      <c r="I56" s="4"/>
    </row>
    <row r="57" spans="1:9">
      <c r="A57" s="24">
        <v>56</v>
      </c>
      <c r="B57" s="2">
        <v>52</v>
      </c>
      <c r="C57" s="3">
        <v>149</v>
      </c>
      <c r="D57" s="3">
        <v>51.6</v>
      </c>
      <c r="E57" s="2">
        <v>150</v>
      </c>
      <c r="F57" s="2">
        <v>96</v>
      </c>
      <c r="G57" s="3">
        <f t="shared" si="0"/>
        <v>23.24219629746408</v>
      </c>
      <c r="H57" s="4" t="str">
        <f t="shared" si="1"/>
        <v>正常</v>
      </c>
      <c r="I57" s="4"/>
    </row>
    <row r="58" spans="1:9">
      <c r="A58" s="24">
        <v>57</v>
      </c>
      <c r="B58" s="2">
        <v>54</v>
      </c>
      <c r="C58" s="3">
        <v>157</v>
      </c>
      <c r="D58" s="3">
        <v>46.8</v>
      </c>
      <c r="E58" s="2">
        <v>130</v>
      </c>
      <c r="F58" s="2">
        <v>76</v>
      </c>
      <c r="G58" s="3">
        <f t="shared" si="0"/>
        <v>18.986571463345367</v>
      </c>
      <c r="H58" s="4" t="str">
        <f t="shared" si="1"/>
        <v>正常</v>
      </c>
      <c r="I58" s="4"/>
    </row>
    <row r="59" spans="1:9">
      <c r="A59" s="24">
        <v>58</v>
      </c>
      <c r="B59" s="2">
        <v>50</v>
      </c>
      <c r="C59" s="3">
        <v>154.9</v>
      </c>
      <c r="D59" s="3">
        <v>58.8</v>
      </c>
      <c r="E59" s="2">
        <v>136</v>
      </c>
      <c r="F59" s="2">
        <v>86</v>
      </c>
      <c r="G59" s="3">
        <f t="shared" si="0"/>
        <v>24.506116318197744</v>
      </c>
      <c r="H59" s="4" t="str">
        <f t="shared" si="1"/>
        <v>正常</v>
      </c>
      <c r="I59" s="4"/>
    </row>
    <row r="60" spans="1:9">
      <c r="A60" s="24">
        <v>59</v>
      </c>
      <c r="B60" s="2">
        <v>59</v>
      </c>
      <c r="C60" s="3">
        <v>147.69999999999999</v>
      </c>
      <c r="D60" s="3">
        <v>56.8</v>
      </c>
      <c r="E60" s="2">
        <v>142</v>
      </c>
      <c r="F60" s="2">
        <v>80</v>
      </c>
      <c r="G60" s="3">
        <f t="shared" si="0"/>
        <v>26.036784292118053</v>
      </c>
      <c r="H60" s="4" t="str">
        <f t="shared" si="1"/>
        <v>肥満</v>
      </c>
      <c r="I60" s="4"/>
    </row>
    <row r="61" spans="1:9">
      <c r="A61" s="24">
        <v>60</v>
      </c>
      <c r="B61" s="2">
        <v>52</v>
      </c>
      <c r="C61" s="3">
        <v>154.30000000000001</v>
      </c>
      <c r="D61" s="3">
        <v>59.2</v>
      </c>
      <c r="E61" s="2">
        <v>120</v>
      </c>
      <c r="F61" s="2">
        <v>90</v>
      </c>
      <c r="G61" s="3">
        <f t="shared" si="0"/>
        <v>24.86507964175804</v>
      </c>
      <c r="H61" s="4" t="str">
        <f t="shared" si="1"/>
        <v>正常</v>
      </c>
      <c r="I61" s="4"/>
    </row>
    <row r="62" spans="1:9">
      <c r="A62" s="24">
        <v>61</v>
      </c>
      <c r="B62" s="2">
        <v>57</v>
      </c>
      <c r="C62" s="3">
        <v>154.5</v>
      </c>
      <c r="D62" s="3">
        <v>64.2</v>
      </c>
      <c r="E62" s="2">
        <v>176</v>
      </c>
      <c r="F62" s="2">
        <v>94</v>
      </c>
      <c r="G62" s="3">
        <f t="shared" si="0"/>
        <v>26.895403273949793</v>
      </c>
      <c r="H62" s="4" t="str">
        <f t="shared" si="1"/>
        <v>肥満</v>
      </c>
      <c r="I62" s="4"/>
    </row>
    <row r="63" spans="1:9">
      <c r="A63" s="24">
        <v>62</v>
      </c>
      <c r="B63" s="2">
        <v>41</v>
      </c>
      <c r="C63" s="3">
        <v>161.1</v>
      </c>
      <c r="D63" s="3">
        <v>50.2</v>
      </c>
      <c r="E63" s="2">
        <v>104</v>
      </c>
      <c r="F63" s="2">
        <v>70</v>
      </c>
      <c r="G63" s="3">
        <f t="shared" si="0"/>
        <v>19.342501370736031</v>
      </c>
      <c r="H63" s="4" t="str">
        <f t="shared" si="1"/>
        <v>正常</v>
      </c>
      <c r="I63" s="4"/>
    </row>
    <row r="64" spans="1:9">
      <c r="A64" s="24">
        <v>63</v>
      </c>
      <c r="B64" s="2">
        <v>55</v>
      </c>
      <c r="C64" s="3">
        <v>151.19999999999999</v>
      </c>
      <c r="D64" s="3">
        <v>46</v>
      </c>
      <c r="E64" s="2">
        <v>148</v>
      </c>
      <c r="F64" s="2">
        <v>90</v>
      </c>
      <c r="G64" s="3">
        <f t="shared" si="0"/>
        <v>20.121217211164307</v>
      </c>
      <c r="H64" s="4" t="str">
        <f t="shared" si="1"/>
        <v>正常</v>
      </c>
      <c r="I64" s="4"/>
    </row>
    <row r="65" spans="1:9">
      <c r="A65" s="24">
        <v>64</v>
      </c>
      <c r="B65" s="2">
        <v>57</v>
      </c>
      <c r="C65" s="3">
        <v>148.9</v>
      </c>
      <c r="D65" s="3">
        <v>52.6</v>
      </c>
      <c r="E65" s="2">
        <v>140</v>
      </c>
      <c r="F65" s="2">
        <v>94</v>
      </c>
      <c r="G65" s="3">
        <f t="shared" si="0"/>
        <v>23.72446068572712</v>
      </c>
      <c r="H65" s="4" t="str">
        <f t="shared" si="1"/>
        <v>正常</v>
      </c>
      <c r="I65" s="4"/>
    </row>
    <row r="66" spans="1:9">
      <c r="A66" s="24">
        <v>65</v>
      </c>
      <c r="B66" s="2">
        <v>59</v>
      </c>
      <c r="C66" s="3">
        <v>154.1</v>
      </c>
      <c r="D66" s="3">
        <v>58</v>
      </c>
      <c r="E66" s="2">
        <v>144</v>
      </c>
      <c r="F66" s="2">
        <v>98</v>
      </c>
      <c r="G66" s="3">
        <f t="shared" si="0"/>
        <v>24.42433320517577</v>
      </c>
      <c r="H66" s="4" t="str">
        <f t="shared" si="1"/>
        <v>正常</v>
      </c>
      <c r="I66" s="4"/>
    </row>
    <row r="67" spans="1:9">
      <c r="A67" s="24">
        <v>66</v>
      </c>
      <c r="B67" s="2">
        <v>56</v>
      </c>
      <c r="C67" s="3">
        <v>155.69999999999999</v>
      </c>
      <c r="D67" s="3">
        <v>54.4</v>
      </c>
      <c r="E67" s="2">
        <v>148</v>
      </c>
      <c r="F67" s="2">
        <v>90</v>
      </c>
      <c r="G67" s="3">
        <f t="shared" ref="G67:G101" si="2">D67/(C67/100)^2</f>
        <v>22.439939131665106</v>
      </c>
      <c r="H67" s="4" t="str">
        <f t="shared" ref="H67:H101" si="3">IF(G67&gt;=25,"肥満",IF(G67&lt;18,"るい痩","正常"))</f>
        <v>正常</v>
      </c>
      <c r="I67" s="4"/>
    </row>
    <row r="68" spans="1:9">
      <c r="A68" s="24">
        <v>67</v>
      </c>
      <c r="B68" s="2">
        <v>50</v>
      </c>
      <c r="C68" s="3">
        <v>156.69999999999999</v>
      </c>
      <c r="D68" s="3">
        <v>55.6</v>
      </c>
      <c r="E68" s="2">
        <v>132</v>
      </c>
      <c r="F68" s="2">
        <v>94</v>
      </c>
      <c r="G68" s="3">
        <f t="shared" si="2"/>
        <v>22.643147658165034</v>
      </c>
      <c r="H68" s="4" t="str">
        <f t="shared" si="3"/>
        <v>正常</v>
      </c>
      <c r="I68" s="4"/>
    </row>
    <row r="69" spans="1:9">
      <c r="A69" s="24">
        <v>68</v>
      </c>
      <c r="B69" s="2">
        <v>53</v>
      </c>
      <c r="C69" s="3">
        <v>150.9</v>
      </c>
      <c r="D69" s="3">
        <v>56.8</v>
      </c>
      <c r="E69" s="2">
        <v>130</v>
      </c>
      <c r="F69" s="2">
        <v>88</v>
      </c>
      <c r="G69" s="3">
        <f t="shared" si="2"/>
        <v>24.944215862325489</v>
      </c>
      <c r="H69" s="4" t="str">
        <f t="shared" si="3"/>
        <v>正常</v>
      </c>
      <c r="I69" s="4"/>
    </row>
    <row r="70" spans="1:9">
      <c r="A70" s="24">
        <v>69</v>
      </c>
      <c r="B70" s="2">
        <v>54</v>
      </c>
      <c r="C70" s="3">
        <v>153.19999999999999</v>
      </c>
      <c r="D70" s="3">
        <v>64.599999999999994</v>
      </c>
      <c r="E70" s="2">
        <v>144</v>
      </c>
      <c r="F70" s="2">
        <v>86</v>
      </c>
      <c r="G70" s="3">
        <f t="shared" si="2"/>
        <v>27.524217903182929</v>
      </c>
      <c r="H70" s="4" t="str">
        <f t="shared" si="3"/>
        <v>肥満</v>
      </c>
      <c r="I70" s="4"/>
    </row>
    <row r="71" spans="1:9">
      <c r="A71" s="24">
        <v>70</v>
      </c>
      <c r="B71" s="2">
        <v>45</v>
      </c>
      <c r="C71" s="3">
        <v>163.6</v>
      </c>
      <c r="D71" s="3">
        <v>65.2</v>
      </c>
      <c r="E71" s="2">
        <v>130</v>
      </c>
      <c r="F71" s="2">
        <v>78</v>
      </c>
      <c r="G71" s="3">
        <f t="shared" si="2"/>
        <v>24.360208272308274</v>
      </c>
      <c r="H71" s="4" t="str">
        <f t="shared" si="3"/>
        <v>正常</v>
      </c>
      <c r="I71" s="4"/>
    </row>
    <row r="72" spans="1:9">
      <c r="A72" s="24">
        <v>71</v>
      </c>
      <c r="B72" s="2">
        <v>59</v>
      </c>
      <c r="C72" s="3">
        <v>149</v>
      </c>
      <c r="D72" s="3">
        <v>57</v>
      </c>
      <c r="E72" s="2">
        <v>124</v>
      </c>
      <c r="F72" s="2">
        <v>72</v>
      </c>
      <c r="G72" s="3">
        <f t="shared" si="2"/>
        <v>25.674519165803343</v>
      </c>
      <c r="H72" s="4" t="str">
        <f t="shared" si="3"/>
        <v>肥満</v>
      </c>
      <c r="I72" s="4"/>
    </row>
    <row r="73" spans="1:9">
      <c r="A73" s="24">
        <v>72</v>
      </c>
      <c r="B73" s="2">
        <v>44</v>
      </c>
      <c r="C73" s="3">
        <v>157.69999999999999</v>
      </c>
      <c r="D73" s="3">
        <v>51.4</v>
      </c>
      <c r="E73" s="2">
        <v>114</v>
      </c>
      <c r="F73" s="2">
        <v>68</v>
      </c>
      <c r="G73" s="3">
        <f t="shared" si="2"/>
        <v>20.668060889554948</v>
      </c>
      <c r="H73" s="4" t="str">
        <f t="shared" si="3"/>
        <v>正常</v>
      </c>
      <c r="I73" s="4"/>
    </row>
    <row r="74" spans="1:9">
      <c r="A74" s="24">
        <v>73</v>
      </c>
      <c r="B74" s="2">
        <v>47</v>
      </c>
      <c r="C74" s="3">
        <v>149.80000000000001</v>
      </c>
      <c r="D74" s="3">
        <v>53.8</v>
      </c>
      <c r="E74" s="2">
        <v>114</v>
      </c>
      <c r="F74" s="2">
        <v>74</v>
      </c>
      <c r="G74" s="3">
        <f t="shared" si="2"/>
        <v>23.975001827091209</v>
      </c>
      <c r="H74" s="4" t="str">
        <f t="shared" si="3"/>
        <v>正常</v>
      </c>
      <c r="I74" s="4"/>
    </row>
    <row r="75" spans="1:9">
      <c r="A75" s="24">
        <v>74</v>
      </c>
      <c r="B75" s="2">
        <v>57</v>
      </c>
      <c r="C75" s="3">
        <v>138.69999999999999</v>
      </c>
      <c r="D75" s="3">
        <v>45.4</v>
      </c>
      <c r="E75" s="2">
        <v>148</v>
      </c>
      <c r="F75" s="2">
        <v>78</v>
      </c>
      <c r="G75" s="3">
        <f t="shared" si="2"/>
        <v>23.599507009417458</v>
      </c>
      <c r="H75" s="4" t="str">
        <f t="shared" si="3"/>
        <v>正常</v>
      </c>
      <c r="I75" s="4"/>
    </row>
    <row r="76" spans="1:9">
      <c r="A76" s="24">
        <v>75</v>
      </c>
      <c r="B76" s="2">
        <v>50</v>
      </c>
      <c r="C76" s="3">
        <v>159.6</v>
      </c>
      <c r="D76" s="3">
        <v>50.4</v>
      </c>
      <c r="E76" s="2">
        <v>124</v>
      </c>
      <c r="F76" s="2">
        <v>70</v>
      </c>
      <c r="G76" s="3">
        <f t="shared" si="2"/>
        <v>19.786307874950538</v>
      </c>
      <c r="H76" s="4" t="str">
        <f t="shared" si="3"/>
        <v>正常</v>
      </c>
      <c r="I76" s="4"/>
    </row>
    <row r="77" spans="1:9">
      <c r="A77" s="24">
        <v>76</v>
      </c>
      <c r="B77" s="2">
        <v>51</v>
      </c>
      <c r="C77" s="3">
        <v>148.80000000000001</v>
      </c>
      <c r="D77" s="3">
        <v>50</v>
      </c>
      <c r="E77" s="2">
        <v>140</v>
      </c>
      <c r="F77" s="2">
        <v>88</v>
      </c>
      <c r="G77" s="3">
        <f t="shared" si="2"/>
        <v>22.58209041507688</v>
      </c>
      <c r="H77" s="4" t="str">
        <f t="shared" si="3"/>
        <v>正常</v>
      </c>
      <c r="I77" s="4"/>
    </row>
    <row r="78" spans="1:9">
      <c r="A78" s="24">
        <v>77</v>
      </c>
      <c r="B78" s="2">
        <v>49</v>
      </c>
      <c r="C78" s="3">
        <v>147.19999999999999</v>
      </c>
      <c r="D78" s="3">
        <v>52.2</v>
      </c>
      <c r="E78" s="2">
        <v>136</v>
      </c>
      <c r="F78" s="2">
        <v>78</v>
      </c>
      <c r="G78" s="3">
        <f t="shared" si="2"/>
        <v>24.091003071833651</v>
      </c>
      <c r="H78" s="4" t="str">
        <f t="shared" si="3"/>
        <v>正常</v>
      </c>
      <c r="I78" s="4"/>
    </row>
    <row r="79" spans="1:9">
      <c r="A79" s="24">
        <v>78</v>
      </c>
      <c r="B79" s="2">
        <v>58</v>
      </c>
      <c r="C79" s="3">
        <v>149.19999999999999</v>
      </c>
      <c r="D79" s="3">
        <v>43</v>
      </c>
      <c r="E79" s="2">
        <v>100</v>
      </c>
      <c r="F79" s="2">
        <v>70</v>
      </c>
      <c r="G79" s="3">
        <f t="shared" si="2"/>
        <v>19.316605452493729</v>
      </c>
      <c r="H79" s="4" t="str">
        <f t="shared" si="3"/>
        <v>正常</v>
      </c>
      <c r="I79" s="4"/>
    </row>
    <row r="80" spans="1:9">
      <c r="A80" s="24">
        <v>79</v>
      </c>
      <c r="B80" s="2">
        <v>57</v>
      </c>
      <c r="C80" s="3">
        <v>149.30000000000001</v>
      </c>
      <c r="D80" s="3">
        <v>38.200000000000003</v>
      </c>
      <c r="E80" s="2">
        <v>114</v>
      </c>
      <c r="F80" s="2">
        <v>72</v>
      </c>
      <c r="G80" s="3">
        <f t="shared" si="2"/>
        <v>17.137353194120003</v>
      </c>
      <c r="H80" s="4" t="str">
        <f t="shared" si="3"/>
        <v>るい痩</v>
      </c>
      <c r="I80" s="4"/>
    </row>
    <row r="81" spans="1:9">
      <c r="A81" s="24">
        <v>80</v>
      </c>
      <c r="B81" s="2">
        <v>55</v>
      </c>
      <c r="C81" s="3">
        <v>157.80000000000001</v>
      </c>
      <c r="D81" s="3">
        <v>54.2</v>
      </c>
      <c r="E81" s="2">
        <v>106</v>
      </c>
      <c r="F81" s="2">
        <v>64</v>
      </c>
      <c r="G81" s="3">
        <f t="shared" si="2"/>
        <v>21.766333987126536</v>
      </c>
      <c r="H81" s="4" t="str">
        <f t="shared" si="3"/>
        <v>正常</v>
      </c>
      <c r="I81" s="4"/>
    </row>
    <row r="82" spans="1:9">
      <c r="A82" s="24">
        <v>81</v>
      </c>
      <c r="B82" s="2">
        <v>48</v>
      </c>
      <c r="C82" s="3">
        <v>153.6</v>
      </c>
      <c r="D82" s="3">
        <v>60</v>
      </c>
      <c r="E82" s="2">
        <v>128</v>
      </c>
      <c r="F82" s="2">
        <v>84</v>
      </c>
      <c r="G82" s="3">
        <f t="shared" si="2"/>
        <v>25.431315104166664</v>
      </c>
      <c r="H82" s="4" t="str">
        <f t="shared" si="3"/>
        <v>肥満</v>
      </c>
      <c r="I82" s="4"/>
    </row>
    <row r="83" spans="1:9">
      <c r="A83" s="24">
        <v>82</v>
      </c>
      <c r="B83" s="2">
        <v>55</v>
      </c>
      <c r="C83" s="3">
        <v>148.9</v>
      </c>
      <c r="D83" s="3">
        <v>61.4</v>
      </c>
      <c r="E83" s="2">
        <v>150</v>
      </c>
      <c r="F83" s="2">
        <v>80</v>
      </c>
      <c r="G83" s="3">
        <f t="shared" si="2"/>
        <v>27.693571979156751</v>
      </c>
      <c r="H83" s="4" t="str">
        <f t="shared" si="3"/>
        <v>肥満</v>
      </c>
      <c r="I83" s="4"/>
    </row>
    <row r="84" spans="1:9">
      <c r="A84" s="24">
        <v>83</v>
      </c>
      <c r="B84" s="2">
        <v>55</v>
      </c>
      <c r="C84" s="3">
        <v>154.19999999999999</v>
      </c>
      <c r="D84" s="3">
        <v>57.6</v>
      </c>
      <c r="E84" s="2">
        <v>136</v>
      </c>
      <c r="F84" s="2">
        <v>74</v>
      </c>
      <c r="G84" s="3">
        <f t="shared" si="2"/>
        <v>24.224439431331291</v>
      </c>
      <c r="H84" s="4" t="str">
        <f t="shared" si="3"/>
        <v>正常</v>
      </c>
      <c r="I84" s="4"/>
    </row>
    <row r="85" spans="1:9">
      <c r="A85" s="24">
        <v>84</v>
      </c>
      <c r="B85" s="2">
        <v>47</v>
      </c>
      <c r="C85" s="3">
        <v>147.6</v>
      </c>
      <c r="D85" s="3">
        <v>33.200000000000003</v>
      </c>
      <c r="E85" s="2">
        <v>98</v>
      </c>
      <c r="F85" s="2">
        <v>62</v>
      </c>
      <c r="G85" s="3">
        <f t="shared" si="2"/>
        <v>15.239312284721764</v>
      </c>
      <c r="H85" s="4" t="str">
        <f t="shared" si="3"/>
        <v>るい痩</v>
      </c>
      <c r="I85" s="4"/>
    </row>
    <row r="86" spans="1:9">
      <c r="A86" s="24">
        <v>85</v>
      </c>
      <c r="B86" s="2">
        <v>59</v>
      </c>
      <c r="C86" s="3">
        <v>149.1</v>
      </c>
      <c r="D86" s="3">
        <v>48</v>
      </c>
      <c r="E86" s="2">
        <v>104</v>
      </c>
      <c r="F86" s="2">
        <v>70</v>
      </c>
      <c r="G86" s="3">
        <f t="shared" si="2"/>
        <v>21.591655904575681</v>
      </c>
      <c r="H86" s="4" t="str">
        <f t="shared" si="3"/>
        <v>正常</v>
      </c>
      <c r="I86" s="4"/>
    </row>
    <row r="87" spans="1:9">
      <c r="A87" s="24">
        <v>86</v>
      </c>
      <c r="B87" s="2">
        <v>58</v>
      </c>
      <c r="C87" s="3">
        <v>147.19999999999999</v>
      </c>
      <c r="D87" s="3">
        <v>53.8</v>
      </c>
      <c r="E87" s="2">
        <v>158</v>
      </c>
      <c r="F87" s="2">
        <v>98</v>
      </c>
      <c r="G87" s="3">
        <f t="shared" si="2"/>
        <v>24.829424621928165</v>
      </c>
      <c r="H87" s="4" t="str">
        <f t="shared" si="3"/>
        <v>正常</v>
      </c>
      <c r="I87" s="4"/>
    </row>
    <row r="88" spans="1:9">
      <c r="A88" s="24">
        <v>87</v>
      </c>
      <c r="B88" s="2">
        <v>49</v>
      </c>
      <c r="C88" s="3">
        <v>156</v>
      </c>
      <c r="D88" s="3">
        <v>52.8</v>
      </c>
      <c r="E88" s="2">
        <v>134</v>
      </c>
      <c r="F88" s="2">
        <v>76</v>
      </c>
      <c r="G88" s="3">
        <f t="shared" si="2"/>
        <v>21.69625246548323</v>
      </c>
      <c r="H88" s="4" t="str">
        <f t="shared" si="3"/>
        <v>正常</v>
      </c>
      <c r="I88" s="4"/>
    </row>
    <row r="89" spans="1:9">
      <c r="A89" s="24">
        <v>88</v>
      </c>
      <c r="B89" s="2">
        <v>57</v>
      </c>
      <c r="C89" s="3">
        <v>149.6</v>
      </c>
      <c r="D89" s="3">
        <v>53.2</v>
      </c>
      <c r="E89" s="2">
        <v>130</v>
      </c>
      <c r="F89" s="2">
        <v>82</v>
      </c>
      <c r="G89" s="3">
        <f t="shared" si="2"/>
        <v>23.771054362435301</v>
      </c>
      <c r="H89" s="4" t="str">
        <f t="shared" si="3"/>
        <v>正常</v>
      </c>
      <c r="I89" s="4"/>
    </row>
    <row r="90" spans="1:9">
      <c r="A90" s="24">
        <v>89</v>
      </c>
      <c r="B90" s="2">
        <v>49</v>
      </c>
      <c r="C90" s="3">
        <v>150.69999999999999</v>
      </c>
      <c r="D90" s="3">
        <v>61.6</v>
      </c>
      <c r="E90" s="2">
        <v>130</v>
      </c>
      <c r="F90" s="2">
        <v>80</v>
      </c>
      <c r="G90" s="3">
        <f t="shared" si="2"/>
        <v>27.124029468320593</v>
      </c>
      <c r="H90" s="4" t="str">
        <f t="shared" si="3"/>
        <v>肥満</v>
      </c>
      <c r="I90" s="4"/>
    </row>
    <row r="91" spans="1:9">
      <c r="A91" s="24">
        <v>90</v>
      </c>
      <c r="B91" s="2">
        <v>51</v>
      </c>
      <c r="C91" s="3">
        <v>152.4</v>
      </c>
      <c r="D91" s="3">
        <v>51.8</v>
      </c>
      <c r="E91" s="2">
        <v>128</v>
      </c>
      <c r="F91" s="2">
        <v>76</v>
      </c>
      <c r="G91" s="3">
        <f t="shared" si="2"/>
        <v>22.302822383422541</v>
      </c>
      <c r="H91" s="4" t="str">
        <f t="shared" si="3"/>
        <v>正常</v>
      </c>
      <c r="I91" s="4"/>
    </row>
    <row r="92" spans="1:9">
      <c r="A92" s="24">
        <v>91</v>
      </c>
      <c r="B92" s="2">
        <v>54</v>
      </c>
      <c r="C92" s="3">
        <v>150.80000000000001</v>
      </c>
      <c r="D92" s="3">
        <v>55.2</v>
      </c>
      <c r="E92" s="2">
        <v>122</v>
      </c>
      <c r="F92" s="2">
        <v>70</v>
      </c>
      <c r="G92" s="3">
        <f t="shared" si="2"/>
        <v>24.273723166982109</v>
      </c>
      <c r="H92" s="4" t="str">
        <f t="shared" si="3"/>
        <v>正常</v>
      </c>
      <c r="I92" s="4"/>
    </row>
    <row r="93" spans="1:9">
      <c r="A93" s="24">
        <v>92</v>
      </c>
      <c r="B93" s="2">
        <v>45</v>
      </c>
      <c r="C93" s="3">
        <v>157.69999999999999</v>
      </c>
      <c r="D93" s="3">
        <v>65.2</v>
      </c>
      <c r="E93" s="2">
        <v>170</v>
      </c>
      <c r="F93" s="2">
        <v>108</v>
      </c>
      <c r="G93" s="3">
        <f t="shared" si="2"/>
        <v>26.217073346283712</v>
      </c>
      <c r="H93" s="4" t="str">
        <f t="shared" si="3"/>
        <v>肥満</v>
      </c>
      <c r="I93" s="4"/>
    </row>
    <row r="94" spans="1:9">
      <c r="A94" s="24">
        <v>93</v>
      </c>
      <c r="B94" s="2">
        <v>59</v>
      </c>
      <c r="C94" s="3">
        <v>152.80000000000001</v>
      </c>
      <c r="D94" s="3">
        <v>49.8</v>
      </c>
      <c r="E94" s="2">
        <v>136</v>
      </c>
      <c r="F94" s="2">
        <v>84</v>
      </c>
      <c r="G94" s="3">
        <f t="shared" si="2"/>
        <v>21.329596228173568</v>
      </c>
      <c r="H94" s="4" t="str">
        <f t="shared" si="3"/>
        <v>正常</v>
      </c>
      <c r="I94" s="4"/>
    </row>
    <row r="95" spans="1:9">
      <c r="A95" s="24">
        <v>94</v>
      </c>
      <c r="B95" s="2">
        <v>59</v>
      </c>
      <c r="C95" s="3">
        <v>152.5</v>
      </c>
      <c r="D95" s="3">
        <v>49.2</v>
      </c>
      <c r="E95" s="2">
        <v>150</v>
      </c>
      <c r="F95" s="2">
        <v>88</v>
      </c>
      <c r="G95" s="3">
        <f t="shared" si="2"/>
        <v>21.155603332437522</v>
      </c>
      <c r="H95" s="4" t="str">
        <f t="shared" si="3"/>
        <v>正常</v>
      </c>
      <c r="I95" s="4"/>
    </row>
    <row r="96" spans="1:9">
      <c r="A96" s="24">
        <v>95</v>
      </c>
      <c r="B96" s="2">
        <v>58</v>
      </c>
      <c r="C96" s="3">
        <v>149.6</v>
      </c>
      <c r="D96" s="3">
        <v>59</v>
      </c>
      <c r="E96" s="2">
        <v>148</v>
      </c>
      <c r="F96" s="2">
        <v>88</v>
      </c>
      <c r="G96" s="3">
        <f t="shared" si="2"/>
        <v>26.362635477136891</v>
      </c>
      <c r="H96" s="4" t="str">
        <f t="shared" si="3"/>
        <v>肥満</v>
      </c>
      <c r="I96" s="4"/>
    </row>
    <row r="97" spans="1:9">
      <c r="A97" s="24">
        <v>96</v>
      </c>
      <c r="B97" s="2">
        <v>52</v>
      </c>
      <c r="C97" s="3">
        <v>144.5</v>
      </c>
      <c r="D97" s="3">
        <v>56.8</v>
      </c>
      <c r="E97" s="2">
        <v>146</v>
      </c>
      <c r="F97" s="2">
        <v>90</v>
      </c>
      <c r="G97" s="3">
        <f t="shared" si="2"/>
        <v>27.202739430801831</v>
      </c>
      <c r="H97" s="4" t="str">
        <f t="shared" si="3"/>
        <v>肥満</v>
      </c>
      <c r="I97" s="4"/>
    </row>
    <row r="98" spans="1:9">
      <c r="A98" s="24">
        <v>97</v>
      </c>
      <c r="B98" s="2">
        <v>52</v>
      </c>
      <c r="C98" s="3">
        <v>151.30000000000001</v>
      </c>
      <c r="D98" s="3">
        <v>48.6</v>
      </c>
      <c r="E98" s="2">
        <v>140</v>
      </c>
      <c r="F98" s="2">
        <v>90</v>
      </c>
      <c r="G98" s="3">
        <f t="shared" si="2"/>
        <v>21.230411559828042</v>
      </c>
      <c r="H98" s="4" t="str">
        <f t="shared" si="3"/>
        <v>正常</v>
      </c>
      <c r="I98" s="4"/>
    </row>
    <row r="99" spans="1:9">
      <c r="A99" s="24">
        <v>98</v>
      </c>
      <c r="B99" s="2">
        <v>58</v>
      </c>
      <c r="C99" s="3">
        <v>147</v>
      </c>
      <c r="D99" s="3">
        <v>51.2</v>
      </c>
      <c r="E99" s="2">
        <v>150</v>
      </c>
      <c r="F99" s="2">
        <v>88</v>
      </c>
      <c r="G99" s="3">
        <f t="shared" si="2"/>
        <v>23.693831274006204</v>
      </c>
      <c r="H99" s="4" t="str">
        <f t="shared" si="3"/>
        <v>正常</v>
      </c>
      <c r="I99" s="4"/>
    </row>
    <row r="100" spans="1:9">
      <c r="A100" s="24">
        <v>99</v>
      </c>
      <c r="B100" s="2">
        <v>47</v>
      </c>
      <c r="C100" s="3">
        <v>159.69999999999999</v>
      </c>
      <c r="D100" s="3">
        <v>53.2</v>
      </c>
      <c r="E100" s="2">
        <v>102</v>
      </c>
      <c r="F100" s="2">
        <v>72</v>
      </c>
      <c r="G100" s="3">
        <f t="shared" si="2"/>
        <v>20.859399413976352</v>
      </c>
      <c r="H100" s="4" t="str">
        <f t="shared" si="3"/>
        <v>正常</v>
      </c>
      <c r="I100" s="4"/>
    </row>
    <row r="101" spans="1:9">
      <c r="A101" s="24">
        <v>100</v>
      </c>
      <c r="B101" s="2">
        <v>46</v>
      </c>
      <c r="C101" s="3">
        <v>152.6</v>
      </c>
      <c r="D101" s="3">
        <v>50</v>
      </c>
      <c r="E101" s="2">
        <v>136</v>
      </c>
      <c r="F101" s="2">
        <v>78</v>
      </c>
      <c r="G101" s="3">
        <f t="shared" si="2"/>
        <v>21.471428399657142</v>
      </c>
      <c r="H101" s="4" t="str">
        <f t="shared" si="3"/>
        <v>正常</v>
      </c>
      <c r="I101" s="4"/>
    </row>
    <row r="103" spans="1:9">
      <c r="A103" s="25" t="s">
        <v>9</v>
      </c>
      <c r="B103" s="32"/>
      <c r="C103" s="32"/>
      <c r="D103" s="32"/>
      <c r="E103" s="32"/>
      <c r="F103" s="32"/>
      <c r="G103" s="32"/>
    </row>
    <row r="104" spans="1:9">
      <c r="A104" s="25" t="s">
        <v>10</v>
      </c>
      <c r="B104" s="32"/>
      <c r="C104" s="32"/>
      <c r="D104" s="32"/>
      <c r="E104" s="32"/>
      <c r="F104" s="32"/>
      <c r="G104" s="32"/>
    </row>
    <row r="105" spans="1:9">
      <c r="A105" s="25" t="s">
        <v>11</v>
      </c>
      <c r="B105" s="26"/>
      <c r="C105" s="33"/>
      <c r="D105" s="33"/>
      <c r="E105" s="26"/>
      <c r="F105" s="26"/>
      <c r="G105" s="33"/>
    </row>
    <row r="106" spans="1:9">
      <c r="A106" s="25" t="s">
        <v>12</v>
      </c>
      <c r="B106" s="26"/>
      <c r="C106" s="33"/>
      <c r="D106" s="33"/>
      <c r="E106" s="26"/>
      <c r="F106" s="26"/>
      <c r="G106" s="33"/>
    </row>
    <row r="107" spans="1:9">
      <c r="A107" s="25" t="s">
        <v>13</v>
      </c>
      <c r="B107" s="33"/>
      <c r="C107" s="33"/>
      <c r="D107" s="33"/>
      <c r="E107" s="33"/>
      <c r="F107" s="33"/>
      <c r="G107" s="33"/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グラフ練習</vt:lpstr>
      <vt:lpstr>絶対参照</vt:lpstr>
      <vt:lpstr>主要死因の推移</vt:lpstr>
      <vt:lpstr>記述統計演習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佐伯圭一郎</dc:creator>
  <cp:keywords/>
  <dc:description/>
  <cp:lastModifiedBy>Oita-NHS y-okada</cp:lastModifiedBy>
  <dcterms:created xsi:type="dcterms:W3CDTF">2015-06-05T18:19:34Z</dcterms:created>
  <dcterms:modified xsi:type="dcterms:W3CDTF">2026-09-14T07:18:32Z</dcterms:modified>
  <cp:category/>
</cp:coreProperties>
</file>